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sureshsammu/Documents/sureshsaamu/Data Analytics/Excel Learning/"/>
    </mc:Choice>
  </mc:AlternateContent>
  <xr:revisionPtr revIDLastSave="0" documentId="8_{FA5C2890-167A-B349-A10B-7574C69B54B8}" xr6:coauthVersionLast="47" xr6:coauthVersionMax="47" xr10:uidLastSave="{00000000-0000-0000-0000-000000000000}"/>
  <bookViews>
    <workbookView xWindow="0" yWindow="720" windowWidth="29400" windowHeight="18400" xr2:uid="{52835C33-3792-C447-8418-139B98C9F607}"/>
  </bookViews>
  <sheets>
    <sheet name="Sheet2" sheetId="2" r:id="rId1"/>
    <sheet name="Sheet1 (2)" sheetId="4" r:id="rId2"/>
    <sheet name="Sheet1" sheetId="1" r:id="rId3"/>
  </sheets>
  <definedNames>
    <definedName name="ExternalData_1" localSheetId="1" hidden="1">'Sheet1 (2)'!$A$1:$G$16</definedName>
    <definedName name="Slicer_Dates">#N/A</definedName>
  </definedNames>
  <calcPr calcId="181029"/>
  <pivotCaches>
    <pivotCache cacheId="7"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7" i="1" l="1"/>
  <c r="B26" i="1"/>
  <c r="B25" i="1"/>
  <c r="F3" i="1"/>
  <c r="F4" i="1"/>
  <c r="F5" i="1"/>
  <c r="F6" i="1"/>
  <c r="F7" i="1"/>
  <c r="F8" i="1"/>
  <c r="B24" i="1" s="1"/>
  <c r="F9" i="1"/>
  <c r="F10" i="1"/>
  <c r="F11" i="1"/>
  <c r="F12" i="1"/>
  <c r="F13" i="1"/>
  <c r="F14" i="1"/>
  <c r="F15" i="1"/>
  <c r="F16" i="1"/>
  <c r="F2" i="1"/>
  <c r="G2" i="1"/>
  <c r="G3" i="1"/>
  <c r="G4" i="1"/>
  <c r="G5" i="1"/>
  <c r="G6" i="1"/>
  <c r="G7" i="1"/>
  <c r="G8" i="1"/>
  <c r="G9" i="1"/>
  <c r="G10" i="1"/>
  <c r="G11" i="1"/>
  <c r="G12" i="1"/>
  <c r="G13" i="1"/>
  <c r="G14" i="1"/>
  <c r="G15" i="1"/>
  <c r="G16" i="1"/>
  <c r="E2" i="1"/>
  <c r="E3" i="1"/>
  <c r="E4" i="1"/>
  <c r="E5" i="1"/>
  <c r="E6" i="1"/>
  <c r="E7" i="1"/>
  <c r="E8" i="1"/>
  <c r="E9" i="1"/>
  <c r="E10" i="1"/>
  <c r="E11" i="1"/>
  <c r="E12" i="1"/>
  <c r="E13" i="1"/>
  <c r="E14" i="1"/>
  <c r="E15" i="1"/>
  <c r="E16" i="1"/>
  <c r="C23" i="1"/>
  <c r="B23" i="1"/>
  <c r="D23" i="1"/>
  <c r="C22" i="1"/>
  <c r="D22" i="1"/>
  <c r="B22" i="1"/>
  <c r="D21" i="1"/>
  <c r="C21" i="1"/>
  <c r="B21" i="1"/>
  <c r="D20" i="1"/>
  <c r="C20" i="1"/>
  <c r="B20" i="1"/>
  <c r="D19" i="1"/>
  <c r="C19" i="1"/>
  <c r="B19"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6D93F1-E377-1D4B-9631-468D32E7418C}"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s>
</file>

<file path=xl/sharedStrings.xml><?xml version="1.0" encoding="utf-8"?>
<sst xmlns="http://schemas.openxmlformats.org/spreadsheetml/2006/main" count="63" uniqueCount="27">
  <si>
    <t>Dates</t>
  </si>
  <si>
    <t xml:space="preserve">Just Eat </t>
  </si>
  <si>
    <t>Deliveroo</t>
  </si>
  <si>
    <t>Uber Eats</t>
  </si>
  <si>
    <t>SUM</t>
  </si>
  <si>
    <t>AVG</t>
  </si>
  <si>
    <t>MIN</t>
  </si>
  <si>
    <t xml:space="preserve">MAX </t>
  </si>
  <si>
    <t xml:space="preserve">COUNT </t>
  </si>
  <si>
    <t xml:space="preserve"> TOTAL DAILY SALES</t>
  </si>
  <si>
    <t>DAILY PERFORMANCE</t>
  </si>
  <si>
    <t>BEST PLATFORM OF THE DAY</t>
  </si>
  <si>
    <t>COUNT IF</t>
  </si>
  <si>
    <t>SUM IF High Day</t>
  </si>
  <si>
    <t>SUM IF Low Day</t>
  </si>
  <si>
    <t>Row Labels</t>
  </si>
  <si>
    <t>Grand Total</t>
  </si>
  <si>
    <t>Sum of Uber Eats</t>
  </si>
  <si>
    <t xml:space="preserve">Sum of Just Eat </t>
  </si>
  <si>
    <t>Sum of Deliveroo</t>
  </si>
  <si>
    <t>6/1/26 - 6/7/26</t>
  </si>
  <si>
    <t>6/8/26 - 6/14/26</t>
  </si>
  <si>
    <t>6/15/26 - 6/16/26</t>
  </si>
  <si>
    <t>(All)</t>
  </si>
  <si>
    <t>Low Day</t>
  </si>
  <si>
    <t>Just Eat</t>
  </si>
  <si>
    <t>High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</si>
</sst>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F800]dddd\,\ mmmm\ dd\,\ yyyy"/>
    <numFmt numFmtId="167" formatCode="_-[$£-809]* #,##0.00_-;\-[$£-809]* #,##0.00_-;_-[$£-809]* &quot;-&quot;??_-;_-@_-"/>
  </numFmts>
  <fonts count="3" x14ac:knownFonts="1">
    <font>
      <sz val="12"/>
      <color theme="1"/>
      <name val="Aptos Narrow"/>
      <family val="2"/>
      <scheme val="minor"/>
    </font>
    <font>
      <sz val="22"/>
      <color theme="1"/>
      <name val="Times New Roman"/>
      <family val="1"/>
    </font>
    <font>
      <sz val="2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66" fontId="1" fillId="0" borderId="0" xfId="0" applyNumberFormat="1" applyFont="1"/>
    <xf numFmtId="167" fontId="1" fillId="0" borderId="0" xfId="0" applyNumberFormat="1" applyFont="1"/>
    <xf numFmtId="0" fontId="1" fillId="0" borderId="0" xfId="0" applyNumberFormat="1" applyFont="1"/>
    <xf numFmtId="0" fontId="0" fillId="0" borderId="0" xfId="0" applyNumberFormat="1"/>
    <xf numFmtId="0" fontId="2" fillId="0" borderId="0" xfId="0" applyFont="1"/>
    <xf numFmtId="0" fontId="2" fillId="0" borderId="0" xfId="0" pivotButton="1" applyFont="1"/>
    <xf numFmtId="0" fontId="2" fillId="0" borderId="0" xfId="0" applyFont="1" applyAlignment="1">
      <alignment horizontal="left"/>
    </xf>
    <xf numFmtId="14" fontId="0" fillId="0" borderId="0" xfId="0" applyNumberFormat="1"/>
    <xf numFmtId="10" fontId="2" fillId="0" borderId="0" xfId="0" applyNumberFormat="1" applyFont="1"/>
  </cellXfs>
  <cellStyles count="1">
    <cellStyle name="Normal" xfId="0" builtinId="0"/>
  </cellStyles>
  <dxfs count="30">
    <dxf>
      <font>
        <sz val="20"/>
      </font>
    </dxf>
    <dxf>
      <font>
        <sz val="20"/>
      </font>
    </dxf>
    <dxf>
      <font>
        <sz val="20"/>
      </font>
    </dxf>
    <dxf>
      <font>
        <sz val="20"/>
      </font>
    </dxf>
    <dxf>
      <font>
        <sz val="20"/>
      </font>
    </dxf>
    <dxf>
      <font>
        <sz val="20"/>
      </font>
    </dxf>
    <dxf>
      <numFmt numFmtId="14" formatCode="0.00%"/>
    </dxf>
    <dxf>
      <numFmt numFmtId="14" formatCode="0.00%"/>
    </dxf>
    <dxf>
      <numFmt numFmtId="14" formatCode="0.00%"/>
    </dxf>
    <dxf>
      <numFmt numFmtId="19" formatCode="m/d/yy"/>
    </dxf>
    <dxf>
      <numFmt numFmtId="0" formatCode="General"/>
    </dxf>
    <dxf>
      <numFmt numFmtId="0" formatCode="General"/>
    </dxf>
    <dxf>
      <font>
        <b val="0"/>
        <i val="0"/>
        <strike val="0"/>
        <condense val="0"/>
        <extend val="0"/>
        <outline val="0"/>
        <shadow val="0"/>
        <u val="none"/>
        <vertAlign val="baseline"/>
        <sz val="22"/>
        <color theme="1"/>
        <name val="Times New Roman"/>
        <family val="1"/>
        <scheme val="none"/>
      </font>
    </dxf>
    <dxf>
      <font>
        <b val="0"/>
        <i val="0"/>
        <strike val="0"/>
        <condense val="0"/>
        <extend val="0"/>
        <outline val="0"/>
        <shadow val="0"/>
        <u val="none"/>
        <vertAlign val="baseline"/>
        <sz val="22"/>
        <color theme="1"/>
        <name val="Times New Roman"/>
        <family val="1"/>
        <scheme val="none"/>
      </font>
    </dxf>
    <dxf>
      <font>
        <b val="0"/>
        <i val="0"/>
        <strike val="0"/>
        <condense val="0"/>
        <extend val="0"/>
        <outline val="0"/>
        <shadow val="0"/>
        <u val="none"/>
        <vertAlign val="baseline"/>
        <sz val="22"/>
        <color theme="1"/>
        <name val="Times New Roman"/>
        <family val="1"/>
        <scheme val="none"/>
      </font>
    </dxf>
    <dxf>
      <font>
        <b val="0"/>
        <i val="0"/>
        <strike val="0"/>
        <condense val="0"/>
        <extend val="0"/>
        <outline val="0"/>
        <shadow val="0"/>
        <u val="none"/>
        <vertAlign val="baseline"/>
        <sz val="22"/>
        <color theme="1"/>
        <name val="Times New Roman"/>
        <family val="1"/>
        <scheme val="none"/>
      </font>
    </dxf>
    <dxf>
      <font>
        <b val="0"/>
        <i val="0"/>
        <strike val="0"/>
        <condense val="0"/>
        <extend val="0"/>
        <outline val="0"/>
        <shadow val="0"/>
        <u val="none"/>
        <vertAlign val="baseline"/>
        <sz val="22"/>
        <color theme="1"/>
        <name val="Times New Roman"/>
        <family val="1"/>
        <scheme val="none"/>
      </font>
      <numFmt numFmtId="167" formatCode="_-[$£-809]* #,##0.00_-;\-[$£-809]* #,##0.00_-;_-[$£-809]* &quot;-&quot;??_-;_-@_-"/>
    </dxf>
    <dxf>
      <font>
        <b val="0"/>
        <i val="0"/>
        <strike val="0"/>
        <condense val="0"/>
        <extend val="0"/>
        <outline val="0"/>
        <shadow val="0"/>
        <u val="none"/>
        <vertAlign val="baseline"/>
        <sz val="22"/>
        <color theme="1"/>
        <name val="Times New Roman"/>
        <family val="1"/>
        <scheme val="none"/>
      </font>
      <numFmt numFmtId="167" formatCode="_-[$£-809]* #,##0.00_-;\-[$£-809]* #,##0.00_-;_-[$£-809]* &quot;-&quot;??_-;_-@_-"/>
    </dxf>
    <dxf>
      <font>
        <b val="0"/>
        <i val="0"/>
        <strike val="0"/>
        <condense val="0"/>
        <extend val="0"/>
        <outline val="0"/>
        <shadow val="0"/>
        <u val="none"/>
        <vertAlign val="baseline"/>
        <sz val="22"/>
        <color theme="1"/>
        <name val="Times New Roman"/>
        <family val="1"/>
        <scheme val="none"/>
      </font>
      <numFmt numFmtId="167" formatCode="_-[$£-809]* #,##0.00_-;\-[$£-809]* #,##0.00_-;_-[$£-809]* &quot;-&quot;??_-;_-@_-"/>
    </dxf>
    <dxf>
      <font>
        <b val="0"/>
        <i val="0"/>
        <strike val="0"/>
        <condense val="0"/>
        <extend val="0"/>
        <outline val="0"/>
        <shadow val="0"/>
        <u val="none"/>
        <vertAlign val="baseline"/>
        <sz val="22"/>
        <color theme="1"/>
        <name val="Times New Roman"/>
        <family val="1"/>
        <scheme val="none"/>
      </font>
      <numFmt numFmtId="167" formatCode="_-[$£-809]* #,##0.00_-;\-[$£-809]* #,##0.00_-;_-[$£-809]* &quot;-&quot;??_-;_-@_-"/>
    </dxf>
    <dxf>
      <font>
        <b val="0"/>
        <i val="0"/>
        <strike val="0"/>
        <condense val="0"/>
        <extend val="0"/>
        <outline val="0"/>
        <shadow val="0"/>
        <u val="none"/>
        <vertAlign val="baseline"/>
        <sz val="22"/>
        <color theme="1"/>
        <name val="Times New Roman"/>
        <family val="1"/>
        <scheme val="none"/>
      </font>
      <numFmt numFmtId="166" formatCode="[$-F800]dddd\,\ mmmm\ dd\,\ yyyy"/>
    </dxf>
    <dxf>
      <numFmt numFmtId="14" formatCode="0.00%"/>
    </dxf>
    <dxf>
      <numFmt numFmtId="14" formatCode="0.00%"/>
    </dxf>
    <dxf>
      <numFmt numFmtId="14" formatCode="0.00%"/>
    </dxf>
    <dxf>
      <font>
        <sz val="20"/>
      </font>
    </dxf>
    <dxf>
      <font>
        <sz val="20"/>
      </font>
    </dxf>
    <dxf>
      <font>
        <sz val="20"/>
      </font>
    </dxf>
    <dxf>
      <font>
        <sz val="20"/>
      </font>
    </dxf>
    <dxf>
      <font>
        <sz val="20"/>
      </font>
    </dxf>
    <dxf>
      <font>
        <sz val="2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[takeaway_sales_analysis_D6.xlsx]Sheet2!PivotTable1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Sum of Uber Eats</c:v>
                </c:pt>
              </c:strCache>
            </c:strRef>
          </c:tx>
          <c:spPr>
            <a:solidFill>
              <a:schemeClr val="accent1"/>
            </a:solidFill>
            <a:ln>
              <a:noFill/>
            </a:ln>
            <a:effectLst/>
          </c:spPr>
          <c:invertIfNegative val="0"/>
          <c:cat>
            <c:strRef>
              <c:f>Sheet2!$A$4:$A$7</c:f>
              <c:strCache>
                <c:ptCount val="3"/>
                <c:pt idx="0">
                  <c:v>6/1/26 - 6/7/26</c:v>
                </c:pt>
                <c:pt idx="1">
                  <c:v>6/8/26 - 6/14/26</c:v>
                </c:pt>
                <c:pt idx="2">
                  <c:v>6/15/26 - 6/16/26</c:v>
                </c:pt>
              </c:strCache>
            </c:strRef>
          </c:cat>
          <c:val>
            <c:numRef>
              <c:f>Sheet2!$B$4:$B$7</c:f>
              <c:numCache>
                <c:formatCode>0.00%</c:formatCode>
                <c:ptCount val="3"/>
                <c:pt idx="0">
                  <c:v>0.45247906304591329</c:v>
                </c:pt>
                <c:pt idx="1">
                  <c:v>0.47500333714444898</c:v>
                </c:pt>
                <c:pt idx="2">
                  <c:v>7.2517599809637678E-2</c:v>
                </c:pt>
              </c:numCache>
            </c:numRef>
          </c:val>
          <c:extLst>
            <c:ext xmlns:c16="http://schemas.microsoft.com/office/drawing/2014/chart" uri="{C3380CC4-5D6E-409C-BE32-E72D297353CC}">
              <c16:uniqueId val="{00000000-2FA0-BE44-B938-3B84CF1516EA}"/>
            </c:ext>
          </c:extLst>
        </c:ser>
        <c:ser>
          <c:idx val="1"/>
          <c:order val="1"/>
          <c:tx>
            <c:strRef>
              <c:f>Sheet2!$C$3</c:f>
              <c:strCache>
                <c:ptCount val="1"/>
                <c:pt idx="0">
                  <c:v>Sum of Just Eat </c:v>
                </c:pt>
              </c:strCache>
            </c:strRef>
          </c:tx>
          <c:spPr>
            <a:solidFill>
              <a:schemeClr val="accent2"/>
            </a:solidFill>
            <a:ln>
              <a:noFill/>
            </a:ln>
            <a:effectLst/>
          </c:spPr>
          <c:invertIfNegative val="0"/>
          <c:cat>
            <c:strRef>
              <c:f>Sheet2!$A$4:$A$7</c:f>
              <c:strCache>
                <c:ptCount val="3"/>
                <c:pt idx="0">
                  <c:v>6/1/26 - 6/7/26</c:v>
                </c:pt>
                <c:pt idx="1">
                  <c:v>6/8/26 - 6/14/26</c:v>
                </c:pt>
                <c:pt idx="2">
                  <c:v>6/15/26 - 6/16/26</c:v>
                </c:pt>
              </c:strCache>
            </c:strRef>
          </c:cat>
          <c:val>
            <c:numRef>
              <c:f>Sheet2!$C$4:$C$7</c:f>
              <c:numCache>
                <c:formatCode>0.00%</c:formatCode>
                <c:ptCount val="3"/>
                <c:pt idx="0">
                  <c:v>0.44273369779019761</c:v>
                </c:pt>
                <c:pt idx="1">
                  <c:v>0.4899310878087822</c:v>
                </c:pt>
                <c:pt idx="2">
                  <c:v>6.733521440102011E-2</c:v>
                </c:pt>
              </c:numCache>
            </c:numRef>
          </c:val>
          <c:extLst>
            <c:ext xmlns:c16="http://schemas.microsoft.com/office/drawing/2014/chart" uri="{C3380CC4-5D6E-409C-BE32-E72D297353CC}">
              <c16:uniqueId val="{00000001-2FA0-BE44-B938-3B84CF1516EA}"/>
            </c:ext>
          </c:extLst>
        </c:ser>
        <c:ser>
          <c:idx val="2"/>
          <c:order val="2"/>
          <c:tx>
            <c:strRef>
              <c:f>Sheet2!$D$3</c:f>
              <c:strCache>
                <c:ptCount val="1"/>
                <c:pt idx="0">
                  <c:v>Sum of Deliveroo</c:v>
                </c:pt>
              </c:strCache>
            </c:strRef>
          </c:tx>
          <c:spPr>
            <a:solidFill>
              <a:schemeClr val="accent3"/>
            </a:solidFill>
            <a:ln>
              <a:noFill/>
            </a:ln>
            <a:effectLst/>
          </c:spPr>
          <c:invertIfNegative val="0"/>
          <c:cat>
            <c:strRef>
              <c:f>Sheet2!$A$4:$A$7</c:f>
              <c:strCache>
                <c:ptCount val="3"/>
                <c:pt idx="0">
                  <c:v>6/1/26 - 6/7/26</c:v>
                </c:pt>
                <c:pt idx="1">
                  <c:v>6/8/26 - 6/14/26</c:v>
                </c:pt>
                <c:pt idx="2">
                  <c:v>6/15/26 - 6/16/26</c:v>
                </c:pt>
              </c:strCache>
            </c:strRef>
          </c:cat>
          <c:val>
            <c:numRef>
              <c:f>Sheet2!$D$4:$D$7</c:f>
              <c:numCache>
                <c:formatCode>0.00%</c:formatCode>
                <c:ptCount val="3"/>
                <c:pt idx="0">
                  <c:v>0.43538500137837899</c:v>
                </c:pt>
                <c:pt idx="1">
                  <c:v>0.48857494199967166</c:v>
                </c:pt>
                <c:pt idx="2">
                  <c:v>7.6040056621949362E-2</c:v>
                </c:pt>
              </c:numCache>
            </c:numRef>
          </c:val>
          <c:extLst>
            <c:ext xmlns:c16="http://schemas.microsoft.com/office/drawing/2014/chart" uri="{C3380CC4-5D6E-409C-BE32-E72D297353CC}">
              <c16:uniqueId val="{00000002-2FA0-BE44-B938-3B84CF1516EA}"/>
            </c:ext>
          </c:extLst>
        </c:ser>
        <c:dLbls>
          <c:showLegendKey val="0"/>
          <c:showVal val="0"/>
          <c:showCatName val="0"/>
          <c:showSerName val="0"/>
          <c:showPercent val="0"/>
          <c:showBubbleSize val="0"/>
        </c:dLbls>
        <c:gapWidth val="219"/>
        <c:overlap val="-27"/>
        <c:axId val="1967029136"/>
        <c:axId val="1948487936"/>
      </c:barChart>
      <c:catAx>
        <c:axId val="1967029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487936"/>
        <c:crosses val="autoZero"/>
        <c:auto val="1"/>
        <c:lblAlgn val="ctr"/>
        <c:lblOffset val="100"/>
        <c:noMultiLvlLbl val="0"/>
      </c:catAx>
      <c:valAx>
        <c:axId val="1948487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7029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sz="1800" b="1" i="0" u="none" strike="noStrike" cap="all" baseline="0"/>
              <a:t>Total Sales by Platform — June 2026</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(Sheet1!$B$1,Sheet1!$C$1,Sheet1!$D$1)</c:f>
              <c:strCache>
                <c:ptCount val="3"/>
                <c:pt idx="0">
                  <c:v>Uber Eats</c:v>
                </c:pt>
                <c:pt idx="1">
                  <c:v>Just Eat </c:v>
                </c:pt>
                <c:pt idx="2">
                  <c:v>Deliveroo</c:v>
                </c:pt>
              </c:strCache>
            </c:strRef>
          </c:cat>
          <c:val>
            <c:numRef>
              <c:f>(Sheet1!$B$19,Sheet1!$C$19,Sheet1!$D$19)</c:f>
              <c:numCache>
                <c:formatCode>_-[$£-809]* #,##0.00_-;\-[$£-809]* #,##0.00_-;_-[$£-809]* "-"??_-;_-@_-</c:formatCode>
                <c:ptCount val="3"/>
                <c:pt idx="0">
                  <c:v>3446.0600000000009</c:v>
                </c:pt>
                <c:pt idx="1">
                  <c:v>2948.68</c:v>
                </c:pt>
                <c:pt idx="2">
                  <c:v>3228.4300000000003</c:v>
                </c:pt>
              </c:numCache>
            </c:numRef>
          </c:val>
          <c:extLst>
            <c:ext xmlns:c16="http://schemas.microsoft.com/office/drawing/2014/chart" uri="{C3380CC4-5D6E-409C-BE32-E72D297353CC}">
              <c16:uniqueId val="{00000000-78E2-6C49-BDEA-FAE6EBDE6F16}"/>
            </c:ext>
          </c:extLst>
        </c:ser>
        <c:dLbls>
          <c:showLegendKey val="0"/>
          <c:showVal val="0"/>
          <c:showCatName val="0"/>
          <c:showSerName val="0"/>
          <c:showPercent val="0"/>
          <c:showBubbleSize val="0"/>
        </c:dLbls>
        <c:gapWidth val="150"/>
        <c:axId val="270381744"/>
        <c:axId val="1948281232"/>
      </c:barChart>
      <c:catAx>
        <c:axId val="270381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8281232"/>
        <c:crosses val="autoZero"/>
        <c:auto val="1"/>
        <c:lblAlgn val="ctr"/>
        <c:lblOffset val="100"/>
        <c:noMultiLvlLbl val="0"/>
      </c:catAx>
      <c:valAx>
        <c:axId val="1948281232"/>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38174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186266</xdr:rowOff>
    </xdr:from>
    <xdr:to>
      <xdr:col>5</xdr:col>
      <xdr:colOff>372533</xdr:colOff>
      <xdr:row>46</xdr:row>
      <xdr:rowOff>118532</xdr:rowOff>
    </xdr:to>
    <xdr:graphicFrame macro="">
      <xdr:nvGraphicFramePr>
        <xdr:cNvPr id="2" name="Chart 1">
          <a:extLst>
            <a:ext uri="{FF2B5EF4-FFF2-40B4-BE49-F238E27FC236}">
              <a16:creationId xmlns:a16="http://schemas.microsoft.com/office/drawing/2014/main" id="{1483C559-A5CC-8195-3887-E7A4ECB1A8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795868</xdr:colOff>
      <xdr:row>11</xdr:row>
      <xdr:rowOff>84667</xdr:rowOff>
    </xdr:from>
    <xdr:to>
      <xdr:col>12</xdr:col>
      <xdr:colOff>575734</xdr:colOff>
      <xdr:row>35</xdr:row>
      <xdr:rowOff>118534</xdr:rowOff>
    </xdr:to>
    <mc:AlternateContent xmlns:mc="http://schemas.openxmlformats.org/markup-compatibility/2006">
      <mc:Choice xmlns:a14="http://schemas.microsoft.com/office/drawing/2010/main" Requires="a14">
        <xdr:graphicFrame macro="">
          <xdr:nvGraphicFramePr>
            <xdr:cNvPr id="3" name="Dates">
              <a:extLst>
                <a:ext uri="{FF2B5EF4-FFF2-40B4-BE49-F238E27FC236}">
                  <a16:creationId xmlns:a16="http://schemas.microsoft.com/office/drawing/2014/main" id="{9E0D4469-255E-C66D-BFD4-FD3B872BE810}"/>
                </a:ext>
              </a:extLst>
            </xdr:cNvPr>
            <xdr:cNvGraphicFramePr/>
          </xdr:nvGraphicFramePr>
          <xdr:xfrm>
            <a:off x="0" y="0"/>
            <a:ext cx="0" cy="0"/>
          </xdr:xfrm>
          <a:graphic>
            <a:graphicData uri="http://schemas.microsoft.com/office/drawing/2010/slicer">
              <sle:slicer xmlns:sle="http://schemas.microsoft.com/office/drawing/2010/slicer" name="Dates"/>
            </a:graphicData>
          </a:graphic>
        </xdr:graphicFrame>
      </mc:Choice>
      <mc:Fallback>
        <xdr:sp macro="" textlink="">
          <xdr:nvSpPr>
            <xdr:cNvPr id="0" name=""/>
            <xdr:cNvSpPr>
              <a:spLocks noTextEdit="1"/>
            </xdr:cNvSpPr>
          </xdr:nvSpPr>
          <xdr:spPr>
            <a:xfrm>
              <a:off x="9398001" y="3403600"/>
              <a:ext cx="5588000" cy="4910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686485</xdr:colOff>
      <xdr:row>17</xdr:row>
      <xdr:rowOff>85810</xdr:rowOff>
    </xdr:from>
    <xdr:to>
      <xdr:col>7</xdr:col>
      <xdr:colOff>755134</xdr:colOff>
      <xdr:row>31</xdr:row>
      <xdr:rowOff>240270</xdr:rowOff>
    </xdr:to>
    <xdr:graphicFrame macro="">
      <xdr:nvGraphicFramePr>
        <xdr:cNvPr id="2" name="Chart 1">
          <a:extLst>
            <a:ext uri="{FF2B5EF4-FFF2-40B4-BE49-F238E27FC236}">
              <a16:creationId xmlns:a16="http://schemas.microsoft.com/office/drawing/2014/main" id="{02DC5284-754E-CCC5-3DA9-3512ED4049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esh Sammu" refreshedDate="46194.9653755787" createdVersion="8" refreshedVersion="8" minRefreshableVersion="3" recordCount="15" xr:uid="{EA95A251-DBDD-134F-94F8-BEB5E0ACB5DB}">
  <cacheSource type="worksheet">
    <worksheetSource name="Sheet1"/>
  </cacheSource>
  <cacheFields count="8">
    <cacheField name="Dates" numFmtId="14">
      <sharedItems containsSemiMixedTypes="0" containsNonDate="0" containsDate="1" containsString="0" minDate="2026-06-01T00:00:00" maxDate="2026-06-16T00:00:00" count="15">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sharedItems>
      <fieldGroup par="7"/>
    </cacheField>
    <cacheField name="Uber Eats" numFmtId="0">
      <sharedItems containsSemiMixedTypes="0" containsString="0" containsNumber="1" minValue="89.78" maxValue="345.78"/>
    </cacheField>
    <cacheField name="Just Eat " numFmtId="0">
      <sharedItems containsSemiMixedTypes="0" containsString="0" containsNumber="1" minValue="78.989999999999995" maxValue="312.33"/>
    </cacheField>
    <cacheField name="Deliveroo" numFmtId="0">
      <sharedItems containsSemiMixedTypes="0" containsString="0" containsNumber="1" minValue="122.87" maxValue="345.65"/>
    </cacheField>
    <cacheField name=" TOTAL DAILY SALES" numFmtId="0">
      <sharedItems containsSemiMixedTypes="0" containsString="0" containsNumber="1" minValue="378.1" maxValue="981.41"/>
    </cacheField>
    <cacheField name="DAILY PERFORMANCE" numFmtId="0">
      <sharedItems/>
    </cacheField>
    <cacheField name="BEST PLATFORM OF THE DAY" numFmtId="0">
      <sharedItems/>
    </cacheField>
    <cacheField name="Days (Dates)" numFmtId="0" databaseField="0">
      <fieldGroup base="0">
        <rangePr groupBy="days" startDate="2026-06-01T00:00:00" endDate="2026-06-16T00:00:00" groupInterval="7"/>
        <groupItems count="5">
          <s v="&lt;6/1/26"/>
          <s v="6/1/26 - 6/7/26"/>
          <s v="6/8/26 - 6/14/26"/>
          <s v="6/15/26 - 6/16/26"/>
          <s v="&gt;6/16/26"/>
        </groupItems>
      </fieldGroup>
    </cacheField>
  </cacheFields>
  <extLst>
    <ext xmlns:x14="http://schemas.microsoft.com/office/spreadsheetml/2009/9/main" uri="{725AE2AE-9491-48be-B2B4-4EB974FC3084}">
      <x14:pivotCacheDefinition pivotCacheId="831527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x v="0"/>
    <n v="156.66999999999999"/>
    <n v="98.56"/>
    <n v="122.87"/>
    <n v="378.1"/>
    <s v="Low Day"/>
    <s v="Uber Eats"/>
  </r>
  <r>
    <x v="1"/>
    <n v="167.2"/>
    <n v="78.989999999999995"/>
    <n v="134.87"/>
    <n v="381.06"/>
    <s v="Low Day"/>
    <s v="Uber Eats"/>
  </r>
  <r>
    <x v="2"/>
    <n v="198.4"/>
    <n v="145.69"/>
    <n v="167.8"/>
    <n v="511.89000000000004"/>
    <s v="Low Day"/>
    <s v="Uber Eats"/>
  </r>
  <r>
    <x v="3"/>
    <n v="89.78"/>
    <n v="234.78"/>
    <n v="198.75"/>
    <n v="523.30999999999995"/>
    <s v="Low Day"/>
    <s v="Just Eat"/>
  </r>
  <r>
    <x v="4"/>
    <n v="276.77999999999997"/>
    <n v="189.67"/>
    <n v="145.78"/>
    <n v="612.2299999999999"/>
    <s v="High Day"/>
    <s v="Uber Eats"/>
  </r>
  <r>
    <x v="5"/>
    <n v="324.67"/>
    <n v="267.8"/>
    <n v="289.89"/>
    <n v="882.36"/>
    <s v="High Day"/>
    <s v="Uber Eats"/>
  </r>
  <r>
    <x v="6"/>
    <n v="345.77"/>
    <n v="289.99"/>
    <n v="345.65"/>
    <n v="981.41"/>
    <s v="High Day"/>
    <s v="Uber Eats"/>
  </r>
  <r>
    <x v="7"/>
    <n v="178.67"/>
    <n v="134.49"/>
    <n v="156.78"/>
    <n v="469.93999999999994"/>
    <s v="Low Day"/>
    <s v="Uber Eats"/>
  </r>
  <r>
    <x v="8"/>
    <n v="223.87"/>
    <n v="167.78"/>
    <n v="189.78"/>
    <n v="581.42999999999995"/>
    <s v="Low Day"/>
    <s v="Uber Eats"/>
  </r>
  <r>
    <x v="9"/>
    <n v="156.78"/>
    <n v="212.3"/>
    <n v="223.54"/>
    <n v="592.62"/>
    <s v="Low Day"/>
    <s v="Deliveroo"/>
  </r>
  <r>
    <x v="10"/>
    <n v="312.33999999999997"/>
    <n v="278.99"/>
    <n v="289"/>
    <n v="880.32999999999993"/>
    <s v="High Day"/>
    <s v="Uber Eats"/>
  </r>
  <r>
    <x v="11"/>
    <n v="185.67"/>
    <n v="223.87"/>
    <n v="332.78"/>
    <n v="742.31999999999994"/>
    <s v="High Day"/>
    <s v="Deliveroo"/>
  </r>
  <r>
    <x v="12"/>
    <n v="233.78"/>
    <n v="312.33"/>
    <n v="220.9"/>
    <n v="767.01"/>
    <s v="High Day"/>
    <s v="Just Eat"/>
  </r>
  <r>
    <x v="13"/>
    <n v="345.78"/>
    <n v="114.89"/>
    <n v="164.55"/>
    <n v="625.22"/>
    <s v="High Day"/>
    <s v="Uber Eats"/>
  </r>
  <r>
    <x v="14"/>
    <n v="249.9"/>
    <n v="198.55"/>
    <n v="245.49"/>
    <n v="693.94"/>
    <s v="High Day"/>
    <s v="Uber Eat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F54C84-1F4B-524A-9D17-8B6E77FD6FF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7" firstHeaderRow="0" firstDataRow="1" firstDataCol="1" rowPageCount="1" colPageCount="1"/>
  <pivotFields count="8">
    <pivotField axis="axisPage" numFmtId="166" multipleItemSelectionAllowed="1" showAll="0">
      <items count="16">
        <item x="0"/>
        <item x="1"/>
        <item x="2"/>
        <item x="3"/>
        <item x="4"/>
        <item x="5"/>
        <item x="6"/>
        <item x="7"/>
        <item x="8"/>
        <item x="9"/>
        <item x="10"/>
        <item x="11"/>
        <item x="12"/>
        <item x="13"/>
        <item x="14"/>
        <item t="default"/>
      </items>
    </pivotField>
    <pivotField dataField="1" numFmtId="167" showAll="0"/>
    <pivotField dataField="1" numFmtId="167" showAll="0"/>
    <pivotField dataField="1" numFmtId="167" showAll="0"/>
    <pivotField showAll="0"/>
    <pivotField showAll="0"/>
    <pivotField showAll="0"/>
    <pivotField axis="axisRow" showAll="0">
      <items count="6">
        <item x="0"/>
        <item x="1"/>
        <item x="2"/>
        <item x="3"/>
        <item x="4"/>
        <item t="default"/>
      </items>
    </pivotField>
  </pivotFields>
  <rowFields count="1">
    <field x="7"/>
  </rowFields>
  <rowItems count="4">
    <i>
      <x v="1"/>
    </i>
    <i>
      <x v="2"/>
    </i>
    <i>
      <x v="3"/>
    </i>
    <i t="grand">
      <x/>
    </i>
  </rowItems>
  <colFields count="1">
    <field x="-2"/>
  </colFields>
  <colItems count="3">
    <i>
      <x/>
    </i>
    <i i="1">
      <x v="1"/>
    </i>
    <i i="2">
      <x v="2"/>
    </i>
  </colItems>
  <pageFields count="1">
    <pageField fld="0" hier="-1"/>
  </pageFields>
  <dataFields count="3">
    <dataField name="Sum of Uber Eats" fld="1" showDataAs="percentOfTotal" baseField="0" baseItem="0" numFmtId="10"/>
    <dataField name="Sum of Just Eat " fld="2" showDataAs="percentOfTotal" baseField="0" baseItem="0" numFmtId="10"/>
    <dataField name="Sum of Deliveroo" fld="3" showDataAs="percentOfTotal" baseField="0" baseItem="0" numFmtId="10"/>
  </dataFields>
  <formats count="9">
    <format dxfId="29">
      <pivotArea type="all" dataOnly="0" outline="0" fieldPosition="0"/>
    </format>
    <format dxfId="28">
      <pivotArea outline="0" collapsedLevelsAreSubtotals="1" fieldPosition="0"/>
    </format>
    <format dxfId="27">
      <pivotArea field="7" type="button" dataOnly="0" labelOnly="1" outline="0" axis="axisRow" fieldPosition="0"/>
    </format>
    <format dxfId="26">
      <pivotArea dataOnly="0" labelOnly="1" fieldPosition="0">
        <references count="1">
          <reference field="7" count="3">
            <x v="1"/>
            <x v="2"/>
            <x v="3"/>
          </reference>
        </references>
      </pivotArea>
    </format>
    <format dxfId="25">
      <pivotArea dataOnly="0" labelOnly="1" grandRow="1" outline="0" fieldPosition="0"/>
    </format>
    <format dxfId="24">
      <pivotArea dataOnly="0" labelOnly="1" outline="0" fieldPosition="0">
        <references count="1">
          <reference field="4294967294" count="3">
            <x v="0"/>
            <x v="1"/>
            <x v="2"/>
          </reference>
        </references>
      </pivotArea>
    </format>
    <format dxfId="23">
      <pivotArea outline="0" fieldPosition="0">
        <references count="1">
          <reference field="4294967294" count="1">
            <x v="0"/>
          </reference>
        </references>
      </pivotArea>
    </format>
    <format dxfId="22">
      <pivotArea outline="0" fieldPosition="0">
        <references count="1">
          <reference field="4294967294" count="1">
            <x v="1"/>
          </reference>
        </references>
      </pivotArea>
    </format>
    <format dxfId="21">
      <pivotArea outline="0" fieldPosition="0">
        <references count="1">
          <reference field="4294967294" count="1">
            <x v="2"/>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E1159BC-89CB-E64D-B09D-F1B42F7DA214}" autoFormatId="16" applyNumberFormats="0" applyBorderFormats="0" applyFontFormats="0" applyPatternFormats="0" applyAlignmentFormats="0" applyWidthHeightFormats="0">
  <queryTableRefresh nextId="8">
    <queryTableFields count="7">
      <queryTableField id="1" name="Dates" tableColumnId="1"/>
      <queryTableField id="2" name="Uber Eats" tableColumnId="2"/>
      <queryTableField id="3" name="Just Eat " tableColumnId="3"/>
      <queryTableField id="4" name="Deliveroo" tableColumnId="4"/>
      <queryTableField id="5" name=" TOTAL DAILY SALES" tableColumnId="5"/>
      <queryTableField id="6" name="DAILY PERFORMANCE" tableColumnId="6"/>
      <queryTableField id="7" name="BEST PLATFORM OF THE DA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 xr10:uid="{745E2098-11F8-384C-A463-E9686AC63CED}" sourceName="Dates">
  <pivotTables>
    <pivotTable tabId="2" name="PivotTable1"/>
  </pivotTables>
  <data>
    <tabular pivotCacheId="831527421">
      <items count="15">
        <i x="0" s="1"/>
        <i x="1" s="1"/>
        <i x="2" s="1"/>
        <i x="3" s="1"/>
        <i x="4" s="1"/>
        <i x="5" s="1"/>
        <i x="6" s="1"/>
        <i x="7"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xr10:uid="{ABF8C778-526C-434D-B167-67845E5F6089}" cache="Slicer_Dates" caption="Dates"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BC29642-C68C-094B-8EFD-F796162C5886}" name="Sheet1" displayName="Sheet1" ref="A1:G16" tableType="queryTable" totalsRowShown="0">
  <autoFilter ref="A1:G16" xr:uid="{DBC29642-C68C-094B-8EFD-F796162C5886}"/>
  <tableColumns count="7">
    <tableColumn id="1" xr3:uid="{7A4A8ABD-0712-9A41-943F-3E992D7DB1E3}" uniqueName="1" name="Dates" queryTableFieldId="1" dataDxfId="9"/>
    <tableColumn id="2" xr3:uid="{F6421F63-DECA-D148-B362-8DB406DA998B}" uniqueName="2" name="Uber Eats" queryTableFieldId="2"/>
    <tableColumn id="3" xr3:uid="{37952355-C17C-BF48-A61B-DA0D9090B40D}" uniqueName="3" name="Just Eat " queryTableFieldId="3"/>
    <tableColumn id="4" xr3:uid="{BC7CC8D7-9D49-0D47-9FED-DFD17ACE82AB}" uniqueName="4" name="Deliveroo" queryTableFieldId="4"/>
    <tableColumn id="5" xr3:uid="{EE581A3D-9815-474C-8E01-B941BBA9E392}" uniqueName="5" name=" TOTAL DAILY SALES" queryTableFieldId="5"/>
    <tableColumn id="6" xr3:uid="{D74C24FA-4EE3-EB47-BC80-E89A2CDF3D4F}" uniqueName="6" name="DAILY PERFORMANCE" queryTableFieldId="6" dataDxfId="11"/>
    <tableColumn id="7" xr3:uid="{58F0FB68-77A2-6140-8E27-62A7042AC752}" uniqueName="7" name="BEST PLATFORM OF THE DAY" queryTableFieldId="7" dataDxf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5B3D26-0A15-F64E-AF1F-02FE179F7F06}" name="Table2" displayName="Table2" ref="A1:G16" totalsRowShown="0" headerRowDxfId="12" dataDxfId="13">
  <autoFilter ref="A1:G16" xr:uid="{C05B3D26-0A15-F64E-AF1F-02FE179F7F06}"/>
  <tableColumns count="7">
    <tableColumn id="1" xr3:uid="{EBF4E466-4DCE-E24D-A698-B467A9879A86}" name="Dates" dataDxfId="20"/>
    <tableColumn id="2" xr3:uid="{67EF08DF-0830-C94E-9C40-F91573F48921}" name="Uber Eats" dataDxfId="19"/>
    <tableColumn id="3" xr3:uid="{456B125E-4513-3C46-B332-D26C5D36EE87}" name="Just Eat " dataDxfId="18"/>
    <tableColumn id="4" xr3:uid="{AE9CAEE2-ED02-834F-9356-E247CB49D791}" name="Deliveroo" dataDxfId="17"/>
    <tableColumn id="5" xr3:uid="{DB1E7657-3E40-C04C-966A-B6E6B10A7881}" name=" TOTAL DAILY SALES" dataDxfId="16">
      <calculatedColumnFormula>SUM(B2:D2)</calculatedColumnFormula>
    </tableColumn>
    <tableColumn id="6" xr3:uid="{81AE18D8-BCD2-774D-B437-AD5D1480F954}" name="DAILY PERFORMANCE" dataDxfId="15">
      <calculatedColumnFormula>IF(E2&gt;600,"High Day","Low Day")</calculatedColumnFormula>
    </tableColumn>
    <tableColumn id="7" xr3:uid="{F05A892F-1C2B-4F42-A850-021BBFAE17F2}" name="BEST PLATFORM OF THE DAY" dataDxfId="14">
      <calculatedColumnFormula>IF(B2&gt;C2,IF(B2&gt;D2,"Uber Eats","Deliveroo"),IF(C2&gt;D2,"Just Eat","Deliveroo"))</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257C0-586C-7247-955F-5924602ACD62}">
  <dimension ref="A1:E8"/>
  <sheetViews>
    <sheetView tabSelected="1" zoomScale="75" workbookViewId="0">
      <selection activeCell="D4" sqref="D4"/>
    </sheetView>
  </sheetViews>
  <sheetFormatPr baseColWidth="10" defaultRowHeight="16" x14ac:dyDescent="0.2"/>
  <cols>
    <col min="1" max="1" width="26.6640625" bestFit="1" customWidth="1"/>
    <col min="2" max="2" width="25.6640625" bestFit="1" customWidth="1"/>
    <col min="3" max="3" width="23.5" bestFit="1" customWidth="1"/>
    <col min="4" max="4" width="26" bestFit="1" customWidth="1"/>
  </cols>
  <sheetData>
    <row r="1" spans="1:5" ht="27" x14ac:dyDescent="0.35">
      <c r="A1" s="7" t="s">
        <v>0</v>
      </c>
      <c r="B1" s="6" t="s">
        <v>23</v>
      </c>
    </row>
    <row r="2" spans="1:5" ht="27" x14ac:dyDescent="0.35">
      <c r="A2" s="6"/>
      <c r="B2" s="6"/>
      <c r="C2" s="6"/>
      <c r="D2" s="6"/>
      <c r="E2" s="6"/>
    </row>
    <row r="3" spans="1:5" ht="27" x14ac:dyDescent="0.35">
      <c r="A3" s="7" t="s">
        <v>15</v>
      </c>
      <c r="B3" s="6" t="s">
        <v>17</v>
      </c>
      <c r="C3" s="6" t="s">
        <v>18</v>
      </c>
      <c r="D3" s="6" t="s">
        <v>19</v>
      </c>
      <c r="E3" s="6"/>
    </row>
    <row r="4" spans="1:5" ht="27" x14ac:dyDescent="0.35">
      <c r="A4" s="8" t="s">
        <v>20</v>
      </c>
      <c r="B4" s="10">
        <v>0.45247906304591329</v>
      </c>
      <c r="C4" s="10">
        <v>0.44273369779019761</v>
      </c>
      <c r="D4" s="10">
        <v>0.43538500137837899</v>
      </c>
      <c r="E4" s="6"/>
    </row>
    <row r="5" spans="1:5" ht="27" x14ac:dyDescent="0.35">
      <c r="A5" s="8" t="s">
        <v>21</v>
      </c>
      <c r="B5" s="10">
        <v>0.47500333714444898</v>
      </c>
      <c r="C5" s="10">
        <v>0.4899310878087822</v>
      </c>
      <c r="D5" s="10">
        <v>0.48857494199967166</v>
      </c>
      <c r="E5" s="6"/>
    </row>
    <row r="6" spans="1:5" ht="27" x14ac:dyDescent="0.35">
      <c r="A6" s="8" t="s">
        <v>22</v>
      </c>
      <c r="B6" s="10">
        <v>7.2517599809637678E-2</v>
      </c>
      <c r="C6" s="10">
        <v>6.733521440102011E-2</v>
      </c>
      <c r="D6" s="10">
        <v>7.6040056621949362E-2</v>
      </c>
      <c r="E6" s="6"/>
    </row>
    <row r="7" spans="1:5" ht="27" x14ac:dyDescent="0.35">
      <c r="A7" s="8" t="s">
        <v>16</v>
      </c>
      <c r="B7" s="10">
        <v>1</v>
      </c>
      <c r="C7" s="10">
        <v>1</v>
      </c>
      <c r="D7" s="10">
        <v>1</v>
      </c>
      <c r="E7" s="6"/>
    </row>
    <row r="8" spans="1:5" ht="27" x14ac:dyDescent="0.35">
      <c r="A8" s="6"/>
      <c r="B8" s="6"/>
      <c r="C8" s="6"/>
      <c r="D8" s="6"/>
      <c r="E8" s="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046D-9963-1E42-84A0-7958BA11529A}">
  <dimension ref="A1:G16"/>
  <sheetViews>
    <sheetView workbookViewId="0">
      <selection sqref="A1:A1048576"/>
    </sheetView>
  </sheetViews>
  <sheetFormatPr baseColWidth="10" defaultRowHeight="16" x14ac:dyDescent="0.2"/>
  <cols>
    <col min="1" max="1" width="8.6640625" style="9" bestFit="1" customWidth="1"/>
    <col min="2" max="2" width="11.5" bestFit="1" customWidth="1"/>
    <col min="3" max="3" width="10.33203125" bestFit="1" customWidth="1"/>
    <col min="4" max="4" width="11.5" bestFit="1" customWidth="1"/>
    <col min="5" max="5" width="20.1640625" bestFit="1" customWidth="1"/>
    <col min="6" max="6" width="22.33203125" bestFit="1" customWidth="1"/>
    <col min="7" max="7" width="27.5" bestFit="1" customWidth="1"/>
  </cols>
  <sheetData>
    <row r="1" spans="1:7" x14ac:dyDescent="0.2">
      <c r="A1" s="9" t="s">
        <v>0</v>
      </c>
      <c r="B1" t="s">
        <v>3</v>
      </c>
      <c r="C1" t="s">
        <v>1</v>
      </c>
      <c r="D1" t="s">
        <v>2</v>
      </c>
      <c r="E1" t="s">
        <v>9</v>
      </c>
      <c r="F1" t="s">
        <v>10</v>
      </c>
      <c r="G1" t="s">
        <v>11</v>
      </c>
    </row>
    <row r="2" spans="1:7" x14ac:dyDescent="0.2">
      <c r="A2" s="9">
        <v>46174</v>
      </c>
      <c r="B2">
        <v>156.66999999999999</v>
      </c>
      <c r="C2">
        <v>98.56</v>
      </c>
      <c r="D2">
        <v>122.87</v>
      </c>
      <c r="E2">
        <v>378.1</v>
      </c>
      <c r="F2" s="5" t="s">
        <v>24</v>
      </c>
      <c r="G2" s="5" t="s">
        <v>3</v>
      </c>
    </row>
    <row r="3" spans="1:7" x14ac:dyDescent="0.2">
      <c r="A3" s="9">
        <v>46175</v>
      </c>
      <c r="B3">
        <v>167.2</v>
      </c>
      <c r="C3">
        <v>78.989999999999995</v>
      </c>
      <c r="D3">
        <v>134.87</v>
      </c>
      <c r="E3">
        <v>381.06</v>
      </c>
      <c r="F3" s="5" t="s">
        <v>24</v>
      </c>
      <c r="G3" s="5" t="s">
        <v>3</v>
      </c>
    </row>
    <row r="4" spans="1:7" x14ac:dyDescent="0.2">
      <c r="A4" s="9">
        <v>46176</v>
      </c>
      <c r="B4">
        <v>198.4</v>
      </c>
      <c r="C4">
        <v>145.69</v>
      </c>
      <c r="D4">
        <v>167.8</v>
      </c>
      <c r="E4">
        <v>511.89000000000004</v>
      </c>
      <c r="F4" s="5" t="s">
        <v>24</v>
      </c>
      <c r="G4" s="5" t="s">
        <v>3</v>
      </c>
    </row>
    <row r="5" spans="1:7" x14ac:dyDescent="0.2">
      <c r="A5" s="9">
        <v>46177</v>
      </c>
      <c r="B5">
        <v>89.78</v>
      </c>
      <c r="C5">
        <v>234.78</v>
      </c>
      <c r="D5">
        <v>198.75</v>
      </c>
      <c r="E5">
        <v>523.30999999999995</v>
      </c>
      <c r="F5" s="5" t="s">
        <v>24</v>
      </c>
      <c r="G5" s="5" t="s">
        <v>25</v>
      </c>
    </row>
    <row r="6" spans="1:7" x14ac:dyDescent="0.2">
      <c r="A6" s="9">
        <v>46178</v>
      </c>
      <c r="B6">
        <v>276.77999999999997</v>
      </c>
      <c r="C6">
        <v>189.67</v>
      </c>
      <c r="D6">
        <v>145.78</v>
      </c>
      <c r="E6">
        <v>612.2299999999999</v>
      </c>
      <c r="F6" s="5" t="s">
        <v>26</v>
      </c>
      <c r="G6" s="5" t="s">
        <v>3</v>
      </c>
    </row>
    <row r="7" spans="1:7" x14ac:dyDescent="0.2">
      <c r="A7" s="9">
        <v>46179</v>
      </c>
      <c r="B7">
        <v>324.67</v>
      </c>
      <c r="C7">
        <v>267.8</v>
      </c>
      <c r="D7">
        <v>289.89</v>
      </c>
      <c r="E7">
        <v>882.36</v>
      </c>
      <c r="F7" s="5" t="s">
        <v>26</v>
      </c>
      <c r="G7" s="5" t="s">
        <v>3</v>
      </c>
    </row>
    <row r="8" spans="1:7" x14ac:dyDescent="0.2">
      <c r="A8" s="9">
        <v>46180</v>
      </c>
      <c r="B8">
        <v>345.77</v>
      </c>
      <c r="C8">
        <v>289.99</v>
      </c>
      <c r="D8">
        <v>345.65</v>
      </c>
      <c r="E8">
        <v>981.41</v>
      </c>
      <c r="F8" s="5" t="s">
        <v>26</v>
      </c>
      <c r="G8" s="5" t="s">
        <v>3</v>
      </c>
    </row>
    <row r="9" spans="1:7" x14ac:dyDescent="0.2">
      <c r="A9" s="9">
        <v>46181</v>
      </c>
      <c r="B9">
        <v>178.67</v>
      </c>
      <c r="C9">
        <v>134.49</v>
      </c>
      <c r="D9">
        <v>156.78</v>
      </c>
      <c r="E9">
        <v>469.93999999999994</v>
      </c>
      <c r="F9" s="5" t="s">
        <v>24</v>
      </c>
      <c r="G9" s="5" t="s">
        <v>3</v>
      </c>
    </row>
    <row r="10" spans="1:7" x14ac:dyDescent="0.2">
      <c r="A10" s="9">
        <v>46182</v>
      </c>
      <c r="B10">
        <v>223.87</v>
      </c>
      <c r="C10">
        <v>167.78</v>
      </c>
      <c r="D10">
        <v>189.78</v>
      </c>
      <c r="E10">
        <v>581.42999999999995</v>
      </c>
      <c r="F10" s="5" t="s">
        <v>24</v>
      </c>
      <c r="G10" s="5" t="s">
        <v>3</v>
      </c>
    </row>
    <row r="11" spans="1:7" x14ac:dyDescent="0.2">
      <c r="A11" s="9">
        <v>46183</v>
      </c>
      <c r="B11">
        <v>156.78</v>
      </c>
      <c r="C11">
        <v>212.3</v>
      </c>
      <c r="D11">
        <v>223.54</v>
      </c>
      <c r="E11">
        <v>592.62</v>
      </c>
      <c r="F11" s="5" t="s">
        <v>24</v>
      </c>
      <c r="G11" s="5" t="s">
        <v>2</v>
      </c>
    </row>
    <row r="12" spans="1:7" x14ac:dyDescent="0.2">
      <c r="A12" s="9">
        <v>46184</v>
      </c>
      <c r="B12">
        <v>312.33999999999997</v>
      </c>
      <c r="C12">
        <v>278.99</v>
      </c>
      <c r="D12">
        <v>289</v>
      </c>
      <c r="E12">
        <v>880.32999999999993</v>
      </c>
      <c r="F12" s="5" t="s">
        <v>26</v>
      </c>
      <c r="G12" s="5" t="s">
        <v>3</v>
      </c>
    </row>
    <row r="13" spans="1:7" x14ac:dyDescent="0.2">
      <c r="A13" s="9">
        <v>46185</v>
      </c>
      <c r="B13">
        <v>185.67</v>
      </c>
      <c r="C13">
        <v>223.87</v>
      </c>
      <c r="D13">
        <v>332.78</v>
      </c>
      <c r="E13">
        <v>742.31999999999994</v>
      </c>
      <c r="F13" s="5" t="s">
        <v>26</v>
      </c>
      <c r="G13" s="5" t="s">
        <v>2</v>
      </c>
    </row>
    <row r="14" spans="1:7" x14ac:dyDescent="0.2">
      <c r="A14" s="9">
        <v>46186</v>
      </c>
      <c r="B14">
        <v>233.78</v>
      </c>
      <c r="C14">
        <v>312.33</v>
      </c>
      <c r="D14">
        <v>220.9</v>
      </c>
      <c r="E14">
        <v>767.01</v>
      </c>
      <c r="F14" s="5" t="s">
        <v>26</v>
      </c>
      <c r="G14" s="5" t="s">
        <v>25</v>
      </c>
    </row>
    <row r="15" spans="1:7" x14ac:dyDescent="0.2">
      <c r="A15" s="9">
        <v>46187</v>
      </c>
      <c r="B15">
        <v>345.78</v>
      </c>
      <c r="C15">
        <v>114.89</v>
      </c>
      <c r="D15">
        <v>164.55</v>
      </c>
      <c r="E15">
        <v>625.22</v>
      </c>
      <c r="F15" s="5" t="s">
        <v>26</v>
      </c>
      <c r="G15" s="5" t="s">
        <v>3</v>
      </c>
    </row>
    <row r="16" spans="1:7" x14ac:dyDescent="0.2">
      <c r="A16" s="9">
        <v>46188</v>
      </c>
      <c r="B16">
        <v>249.9</v>
      </c>
      <c r="C16">
        <v>198.55</v>
      </c>
      <c r="D16">
        <v>245.49</v>
      </c>
      <c r="E16">
        <v>693.94</v>
      </c>
      <c r="F16" s="5" t="s">
        <v>26</v>
      </c>
      <c r="G16" s="5" t="s">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74199-2A6F-FA49-AB54-2A03B38BC9A5}">
  <dimension ref="A1:G27"/>
  <sheetViews>
    <sheetView zoomScale="74" workbookViewId="0">
      <selection activeCell="B10" sqref="B10"/>
    </sheetView>
  </sheetViews>
  <sheetFormatPr baseColWidth="10" defaultColWidth="56" defaultRowHeight="28" x14ac:dyDescent="0.3"/>
  <cols>
    <col min="1" max="1" width="45.6640625" style="1" bestFit="1" customWidth="1"/>
    <col min="2" max="2" width="30.6640625" style="1" customWidth="1"/>
    <col min="3" max="3" width="23.6640625" style="1" customWidth="1"/>
    <col min="4" max="4" width="27" style="1" customWidth="1"/>
    <col min="5" max="6" width="56" style="1"/>
    <col min="7" max="7" width="58.33203125" style="1" customWidth="1"/>
    <col min="8" max="16384" width="56" style="1"/>
  </cols>
  <sheetData>
    <row r="1" spans="1:7" x14ac:dyDescent="0.3">
      <c r="A1" s="1" t="s">
        <v>0</v>
      </c>
      <c r="B1" s="1" t="s">
        <v>3</v>
      </c>
      <c r="C1" s="1" t="s">
        <v>1</v>
      </c>
      <c r="D1" s="1" t="s">
        <v>2</v>
      </c>
      <c r="E1" s="1" t="s">
        <v>9</v>
      </c>
      <c r="F1" s="1" t="s">
        <v>10</v>
      </c>
      <c r="G1" s="1" t="s">
        <v>11</v>
      </c>
    </row>
    <row r="2" spans="1:7" x14ac:dyDescent="0.3">
      <c r="A2" s="2">
        <v>46174</v>
      </c>
      <c r="B2" s="3">
        <v>156.66999999999999</v>
      </c>
      <c r="C2" s="3">
        <v>98.56</v>
      </c>
      <c r="D2" s="3">
        <v>122.87</v>
      </c>
      <c r="E2" s="3">
        <f>SUM(B2:D2)</f>
        <v>378.1</v>
      </c>
      <c r="F2" s="1" t="str">
        <f>IF(E2&gt;600,"High Day","Low Day")</f>
        <v>Low Day</v>
      </c>
      <c r="G2" s="1" t="str">
        <f>IF(B2&gt;C2,IF(B2&gt;D2,"Uber Eats","Deliveroo"),IF(C2&gt;D2,"Just Eats","Deliveroo"))</f>
        <v>Uber Eats</v>
      </c>
    </row>
    <row r="3" spans="1:7" x14ac:dyDescent="0.3">
      <c r="A3" s="2">
        <v>46175</v>
      </c>
      <c r="B3" s="3">
        <v>167.2</v>
      </c>
      <c r="C3" s="3">
        <v>78.989999999999995</v>
      </c>
      <c r="D3" s="3">
        <v>134.87</v>
      </c>
      <c r="E3" s="3">
        <f t="shared" ref="E3:E16" si="0">SUM(B3:D3)</f>
        <v>381.06</v>
      </c>
      <c r="F3" s="1" t="str">
        <f t="shared" ref="F3:F16" si="1">IF(E3&gt;600,"High Day","Low Day")</f>
        <v>Low Day</v>
      </c>
      <c r="G3" s="1" t="str">
        <f t="shared" ref="G3:G16" si="2">IF(B3&gt;C3,IF(B3&gt;D3,"Uber Eats","Deliveroo"),IF(C3&gt;D3,"Just Eat","Deliveroo"))</f>
        <v>Uber Eats</v>
      </c>
    </row>
    <row r="4" spans="1:7" x14ac:dyDescent="0.3">
      <c r="A4" s="2">
        <v>46176</v>
      </c>
      <c r="B4" s="3">
        <v>198.4</v>
      </c>
      <c r="C4" s="3">
        <v>145.69</v>
      </c>
      <c r="D4" s="3">
        <v>167.8</v>
      </c>
      <c r="E4" s="3">
        <f t="shared" si="0"/>
        <v>511.89000000000004</v>
      </c>
      <c r="F4" s="1" t="str">
        <f t="shared" si="1"/>
        <v>Low Day</v>
      </c>
      <c r="G4" s="1" t="str">
        <f t="shared" si="2"/>
        <v>Uber Eats</v>
      </c>
    </row>
    <row r="5" spans="1:7" x14ac:dyDescent="0.3">
      <c r="A5" s="2">
        <v>46177</v>
      </c>
      <c r="B5" s="3">
        <v>89.78</v>
      </c>
      <c r="C5" s="3">
        <v>234.78</v>
      </c>
      <c r="D5" s="3">
        <v>198.75</v>
      </c>
      <c r="E5" s="3">
        <f t="shared" si="0"/>
        <v>523.30999999999995</v>
      </c>
      <c r="F5" s="1" t="str">
        <f t="shared" si="1"/>
        <v>Low Day</v>
      </c>
      <c r="G5" s="1" t="str">
        <f t="shared" si="2"/>
        <v>Just Eat</v>
      </c>
    </row>
    <row r="6" spans="1:7" x14ac:dyDescent="0.3">
      <c r="A6" s="2">
        <v>46178</v>
      </c>
      <c r="B6" s="3">
        <v>276.77999999999997</v>
      </c>
      <c r="C6" s="3">
        <v>189.67</v>
      </c>
      <c r="D6" s="3">
        <v>145.78</v>
      </c>
      <c r="E6" s="3">
        <f t="shared" si="0"/>
        <v>612.2299999999999</v>
      </c>
      <c r="F6" s="1" t="str">
        <f t="shared" si="1"/>
        <v>High Day</v>
      </c>
      <c r="G6" s="1" t="str">
        <f t="shared" si="2"/>
        <v>Uber Eats</v>
      </c>
    </row>
    <row r="7" spans="1:7" x14ac:dyDescent="0.3">
      <c r="A7" s="2">
        <v>46179</v>
      </c>
      <c r="B7" s="3">
        <v>324.67</v>
      </c>
      <c r="C7" s="3">
        <v>267.8</v>
      </c>
      <c r="D7" s="3">
        <v>289.89</v>
      </c>
      <c r="E7" s="3">
        <f t="shared" si="0"/>
        <v>882.36</v>
      </c>
      <c r="F7" s="1" t="str">
        <f t="shared" si="1"/>
        <v>High Day</v>
      </c>
      <c r="G7" s="1" t="str">
        <f t="shared" si="2"/>
        <v>Uber Eats</v>
      </c>
    </row>
    <row r="8" spans="1:7" x14ac:dyDescent="0.3">
      <c r="A8" s="2">
        <v>46180</v>
      </c>
      <c r="B8" s="3">
        <v>345.77</v>
      </c>
      <c r="C8" s="3">
        <v>289.99</v>
      </c>
      <c r="D8" s="3">
        <v>345.65</v>
      </c>
      <c r="E8" s="3">
        <f t="shared" si="0"/>
        <v>981.41</v>
      </c>
      <c r="F8" s="1" t="str">
        <f t="shared" si="1"/>
        <v>High Day</v>
      </c>
      <c r="G8" s="1" t="str">
        <f t="shared" si="2"/>
        <v>Uber Eats</v>
      </c>
    </row>
    <row r="9" spans="1:7" x14ac:dyDescent="0.3">
      <c r="A9" s="2">
        <v>46181</v>
      </c>
      <c r="B9" s="3">
        <v>178.67</v>
      </c>
      <c r="C9" s="3">
        <v>134.49</v>
      </c>
      <c r="D9" s="3">
        <v>156.78</v>
      </c>
      <c r="E9" s="3">
        <f t="shared" si="0"/>
        <v>469.93999999999994</v>
      </c>
      <c r="F9" s="1" t="str">
        <f t="shared" si="1"/>
        <v>Low Day</v>
      </c>
      <c r="G9" s="1" t="str">
        <f t="shared" si="2"/>
        <v>Uber Eats</v>
      </c>
    </row>
    <row r="10" spans="1:7" x14ac:dyDescent="0.3">
      <c r="A10" s="2">
        <v>46182</v>
      </c>
      <c r="B10" s="3">
        <v>223.87</v>
      </c>
      <c r="C10" s="3">
        <v>167.78</v>
      </c>
      <c r="D10" s="3">
        <v>189.78</v>
      </c>
      <c r="E10" s="3">
        <f t="shared" si="0"/>
        <v>581.42999999999995</v>
      </c>
      <c r="F10" s="1" t="str">
        <f t="shared" si="1"/>
        <v>Low Day</v>
      </c>
      <c r="G10" s="1" t="str">
        <f t="shared" si="2"/>
        <v>Uber Eats</v>
      </c>
    </row>
    <row r="11" spans="1:7" x14ac:dyDescent="0.3">
      <c r="A11" s="2">
        <v>46183</v>
      </c>
      <c r="B11" s="3">
        <v>156.78</v>
      </c>
      <c r="C11" s="3">
        <v>212.3</v>
      </c>
      <c r="D11" s="3">
        <v>223.54</v>
      </c>
      <c r="E11" s="3">
        <f t="shared" si="0"/>
        <v>592.62</v>
      </c>
      <c r="F11" s="1" t="str">
        <f t="shared" si="1"/>
        <v>Low Day</v>
      </c>
      <c r="G11" s="1" t="str">
        <f t="shared" si="2"/>
        <v>Deliveroo</v>
      </c>
    </row>
    <row r="12" spans="1:7" x14ac:dyDescent="0.3">
      <c r="A12" s="2">
        <v>46184</v>
      </c>
      <c r="B12" s="3">
        <v>312.33999999999997</v>
      </c>
      <c r="C12" s="3">
        <v>278.99</v>
      </c>
      <c r="D12" s="3">
        <v>289</v>
      </c>
      <c r="E12" s="3">
        <f t="shared" si="0"/>
        <v>880.32999999999993</v>
      </c>
      <c r="F12" s="1" t="str">
        <f t="shared" si="1"/>
        <v>High Day</v>
      </c>
      <c r="G12" s="1" t="str">
        <f t="shared" si="2"/>
        <v>Uber Eats</v>
      </c>
    </row>
    <row r="13" spans="1:7" x14ac:dyDescent="0.3">
      <c r="A13" s="2">
        <v>46185</v>
      </c>
      <c r="B13" s="3">
        <v>185.67</v>
      </c>
      <c r="C13" s="3">
        <v>223.87</v>
      </c>
      <c r="D13" s="3">
        <v>332.78</v>
      </c>
      <c r="E13" s="3">
        <f t="shared" si="0"/>
        <v>742.31999999999994</v>
      </c>
      <c r="F13" s="1" t="str">
        <f t="shared" si="1"/>
        <v>High Day</v>
      </c>
      <c r="G13" s="1" t="str">
        <f t="shared" si="2"/>
        <v>Deliveroo</v>
      </c>
    </row>
    <row r="14" spans="1:7" x14ac:dyDescent="0.3">
      <c r="A14" s="2">
        <v>46186</v>
      </c>
      <c r="B14" s="3">
        <v>233.78</v>
      </c>
      <c r="C14" s="3">
        <v>312.33</v>
      </c>
      <c r="D14" s="3">
        <v>220.9</v>
      </c>
      <c r="E14" s="3">
        <f t="shared" si="0"/>
        <v>767.01</v>
      </c>
      <c r="F14" s="1" t="str">
        <f t="shared" si="1"/>
        <v>High Day</v>
      </c>
      <c r="G14" s="1" t="str">
        <f t="shared" si="2"/>
        <v>Just Eat</v>
      </c>
    </row>
    <row r="15" spans="1:7" x14ac:dyDescent="0.3">
      <c r="A15" s="2">
        <v>46187</v>
      </c>
      <c r="B15" s="3">
        <v>345.78</v>
      </c>
      <c r="C15" s="3">
        <v>114.89</v>
      </c>
      <c r="D15" s="3">
        <v>164.55</v>
      </c>
      <c r="E15" s="3">
        <f t="shared" si="0"/>
        <v>625.22</v>
      </c>
      <c r="F15" s="1" t="str">
        <f t="shared" si="1"/>
        <v>High Day</v>
      </c>
      <c r="G15" s="1" t="str">
        <f t="shared" si="2"/>
        <v>Uber Eats</v>
      </c>
    </row>
    <row r="16" spans="1:7" x14ac:dyDescent="0.3">
      <c r="A16" s="2">
        <v>46188</v>
      </c>
      <c r="B16" s="3">
        <v>249.9</v>
      </c>
      <c r="C16" s="3">
        <v>198.55</v>
      </c>
      <c r="D16" s="3">
        <v>245.49</v>
      </c>
      <c r="E16" s="3">
        <f t="shared" si="0"/>
        <v>693.94</v>
      </c>
      <c r="F16" s="1" t="str">
        <f t="shared" si="1"/>
        <v>High Day</v>
      </c>
      <c r="G16" s="1" t="str">
        <f t="shared" si="2"/>
        <v>Uber Eats</v>
      </c>
    </row>
    <row r="17" spans="1:4" x14ac:dyDescent="0.3">
      <c r="A17" s="2"/>
    </row>
    <row r="18" spans="1:4" x14ac:dyDescent="0.3">
      <c r="A18" s="2"/>
    </row>
    <row r="19" spans="1:4" x14ac:dyDescent="0.3">
      <c r="A19" s="1" t="s">
        <v>4</v>
      </c>
      <c r="B19" s="3">
        <f>SUM(B2:B16)</f>
        <v>3446.0600000000009</v>
      </c>
      <c r="C19" s="3">
        <f>SUM(C2:C16)</f>
        <v>2948.68</v>
      </c>
      <c r="D19" s="3">
        <f>SUM(D2:D16)</f>
        <v>3228.4300000000003</v>
      </c>
    </row>
    <row r="20" spans="1:4" x14ac:dyDescent="0.3">
      <c r="A20" s="1" t="s">
        <v>5</v>
      </c>
      <c r="B20" s="3">
        <f>AVERAGE(B2:B16)</f>
        <v>229.7373333333334</v>
      </c>
      <c r="C20" s="3">
        <f>AVERAGE(C2:C16)</f>
        <v>196.57866666666666</v>
      </c>
      <c r="D20" s="3">
        <f>AVERAGE(D2:D16)</f>
        <v>215.2286666666667</v>
      </c>
    </row>
    <row r="21" spans="1:4" x14ac:dyDescent="0.3">
      <c r="A21" s="1" t="s">
        <v>6</v>
      </c>
      <c r="B21" s="3">
        <f>MIN(B2:B16)</f>
        <v>89.78</v>
      </c>
      <c r="C21" s="3">
        <f>MIN(C2:C16)</f>
        <v>78.989999999999995</v>
      </c>
      <c r="D21" s="3">
        <f>MIN(D2:D16)</f>
        <v>122.87</v>
      </c>
    </row>
    <row r="22" spans="1:4" x14ac:dyDescent="0.3">
      <c r="A22" s="1" t="s">
        <v>7</v>
      </c>
      <c r="B22" s="3">
        <f>MAX(B2:B16)</f>
        <v>345.78</v>
      </c>
      <c r="C22" s="3">
        <f>MAX(C2:C16)</f>
        <v>312.33</v>
      </c>
      <c r="D22" s="3">
        <f>MAX(D2:D16)</f>
        <v>345.65</v>
      </c>
    </row>
    <row r="23" spans="1:4" x14ac:dyDescent="0.3">
      <c r="A23" s="1" t="s">
        <v>8</v>
      </c>
      <c r="B23" s="1">
        <f>COUNT(B2:B16)</f>
        <v>15</v>
      </c>
      <c r="C23" s="4">
        <f>COUNT(C2:C16)</f>
        <v>15</v>
      </c>
      <c r="D23" s="1">
        <f>COUNT(D2:D16)</f>
        <v>15</v>
      </c>
    </row>
    <row r="24" spans="1:4" x14ac:dyDescent="0.3">
      <c r="A24" s="1" t="s">
        <v>12</v>
      </c>
      <c r="B24" s="1">
        <f>COUNTIF(F2:F16,"High Day")</f>
        <v>8</v>
      </c>
    </row>
    <row r="25" spans="1:4" x14ac:dyDescent="0.3">
      <c r="A25" s="1" t="s">
        <v>12</v>
      </c>
      <c r="B25" s="1">
        <f>COUNTIF(F2:F16,"Low day")</f>
        <v>7</v>
      </c>
    </row>
    <row r="26" spans="1:4" x14ac:dyDescent="0.3">
      <c r="A26" s="1" t="s">
        <v>13</v>
      </c>
      <c r="B26" s="1">
        <f>SUMIF(F2:F16,"High Day",E2:E16)</f>
        <v>6184.82</v>
      </c>
    </row>
    <row r="27" spans="1:4" x14ac:dyDescent="0.3">
      <c r="A27" s="1" t="s">
        <v>14</v>
      </c>
      <c r="B27" s="1">
        <f>SUMIF(F2:F16,"Low Day",E2:E16)</f>
        <v>3438.35</v>
      </c>
    </row>
  </sheetData>
  <pageMargins left="0.7" right="0.7" top="0.75" bottom="0.75" header="0.3" footer="0.3"/>
  <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024271-7ACB-4545-B6C4-39467CBEA2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 (2)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Suresh Sammu</dc:creator>
  <cp:lastModifiedBy>Suresh Sammu</cp:lastModifiedBy>
  <dcterms:created xsi:type="dcterms:W3CDTF">2026-06-16T12:56:58Z</dcterms:created>
  <dcterms:modified xsi:type="dcterms:W3CDTF">2026-06-21T22:17:59Z</dcterms:modified>
</cp:coreProperties>
</file>