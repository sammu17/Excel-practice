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sammu/Documents/sureshsaamu/Data Analytics/Excel Learning/"/>
    </mc:Choice>
  </mc:AlternateContent>
  <xr:revisionPtr revIDLastSave="0" documentId="13_ncr:1_{28B106E3-E4A8-6840-B863-FA6652D8A177}" xr6:coauthVersionLast="47" xr6:coauthVersionMax="47" xr10:uidLastSave="{00000000-0000-0000-0000-000000000000}"/>
  <bookViews>
    <workbookView xWindow="0" yWindow="720" windowWidth="29400" windowHeight="18400" xr2:uid="{52835C33-3792-C447-8418-139B98C9F607}"/>
  </bookViews>
  <sheets>
    <sheet name="Sheet2" sheetId="2" r:id="rId1"/>
    <sheet name="Sheet1" sheetId="1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5" i="1"/>
  <c r="F3" i="1"/>
  <c r="F4" i="1"/>
  <c r="F5" i="1"/>
  <c r="F6" i="1"/>
  <c r="F7" i="1"/>
  <c r="F8" i="1"/>
  <c r="B24" i="1" s="1"/>
  <c r="F9" i="1"/>
  <c r="F10" i="1"/>
  <c r="F11" i="1"/>
  <c r="F12" i="1"/>
  <c r="F13" i="1"/>
  <c r="F14" i="1"/>
  <c r="F15" i="1"/>
  <c r="F16" i="1"/>
  <c r="F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C23" i="1"/>
  <c r="B23" i="1"/>
  <c r="D23" i="1"/>
  <c r="C22" i="1"/>
  <c r="D22" i="1"/>
  <c r="B22" i="1"/>
  <c r="D21" i="1"/>
  <c r="C21" i="1"/>
  <c r="B21" i="1"/>
  <c r="D20" i="1"/>
  <c r="C20" i="1"/>
  <c r="B20" i="1"/>
  <c r="D19" i="1"/>
  <c r="C19" i="1"/>
  <c r="B19" i="1"/>
</calcChain>
</file>

<file path=xl/sharedStrings.xml><?xml version="1.0" encoding="utf-8"?>
<sst xmlns="http://schemas.openxmlformats.org/spreadsheetml/2006/main" count="24" uniqueCount="23">
  <si>
    <t>Dates</t>
  </si>
  <si>
    <t xml:space="preserve">Just Eat </t>
  </si>
  <si>
    <t>Deliveroo</t>
  </si>
  <si>
    <t>Uber Eats</t>
  </si>
  <si>
    <t>SUM</t>
  </si>
  <si>
    <t>AVG</t>
  </si>
  <si>
    <t>MIN</t>
  </si>
  <si>
    <t xml:space="preserve">MAX </t>
  </si>
  <si>
    <t xml:space="preserve">COUNT </t>
  </si>
  <si>
    <t xml:space="preserve"> TOTAL DAILY SALES</t>
  </si>
  <si>
    <t>DAILY PERFORMANCE</t>
  </si>
  <si>
    <t>BEST PLATFORM OF THE DAY</t>
  </si>
  <si>
    <t>COUNT IF</t>
  </si>
  <si>
    <t>SUM IF High Day</t>
  </si>
  <si>
    <t>SUM IF Low Day</t>
  </si>
  <si>
    <t>Row Labels</t>
  </si>
  <si>
    <t>Grand Total</t>
  </si>
  <si>
    <t>Sum of Uber Eats</t>
  </si>
  <si>
    <t xml:space="preserve">Sum of Just Eat </t>
  </si>
  <si>
    <t>Sum of Deliveroo</t>
  </si>
  <si>
    <t>6/1/26 - 6/7/26</t>
  </si>
  <si>
    <t>6/8/26 - 6/14/26</t>
  </si>
  <si>
    <t>6/15/26 - 6/16/26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</si>
</sst>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800]dddd\,\ mmmm\ dd\,\ yyyy"/>
    <numFmt numFmtId="167" formatCode="_-[$£-809]* #,##0.00_-;\-[$£-809]* #,##0.00_-;_-[$£-809]* &quot;-&quot;??_-;_-@_-"/>
  </numFmts>
  <fonts count="2" x14ac:knownFonts="1">
    <font>
      <sz val="12"/>
      <color theme="1"/>
      <name val="Aptos Narrow"/>
      <family val="2"/>
      <scheme val="minor"/>
    </font>
    <font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applyNumberFormat="1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[takeaway_sales_analysis_D2.xlsx]Sheet2!PivotTable1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Uber Eats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6/1/26 - 6/7/26</c:v>
                </c:pt>
                <c:pt idx="1">
                  <c:v>6/8/26 - 6/14/26</c:v>
                </c:pt>
                <c:pt idx="2">
                  <c:v>6/15/26 - 6/16/26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1559.27</c:v>
                </c:pt>
                <c:pt idx="1">
                  <c:v>1636.8899999999999</c:v>
                </c:pt>
                <c:pt idx="2">
                  <c:v>249.9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0-BE44-B938-3B84CF1516EA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Just Eat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6/1/26 - 6/7/26</c:v>
                </c:pt>
                <c:pt idx="1">
                  <c:v>6/8/26 - 6/14/26</c:v>
                </c:pt>
                <c:pt idx="2">
                  <c:v>6/15/26 - 6/16/26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1305.48</c:v>
                </c:pt>
                <c:pt idx="1">
                  <c:v>1444.65</c:v>
                </c:pt>
                <c:pt idx="2">
                  <c:v>198.55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0-BE44-B938-3B84CF1516EA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Deliveroo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6/1/26 - 6/7/26</c:v>
                </c:pt>
                <c:pt idx="1">
                  <c:v>6/8/26 - 6/14/26</c:v>
                </c:pt>
                <c:pt idx="2">
                  <c:v>6/15/26 - 6/16/26</c:v>
                </c:pt>
              </c:strCache>
            </c:strRef>
          </c:cat>
          <c:val>
            <c:numRef>
              <c:f>Sheet2!$D$4:$D$7</c:f>
              <c:numCache>
                <c:formatCode>General</c:formatCode>
                <c:ptCount val="3"/>
                <c:pt idx="0">
                  <c:v>1405.6100000000001</c:v>
                </c:pt>
                <c:pt idx="1">
                  <c:v>1577.3300000000002</c:v>
                </c:pt>
                <c:pt idx="2">
                  <c:v>245.49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A0-BE44-B938-3B84CF151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029136"/>
        <c:axId val="1948487936"/>
      </c:barChart>
      <c:catAx>
        <c:axId val="196702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487936"/>
        <c:crosses val="autoZero"/>
        <c:auto val="1"/>
        <c:lblAlgn val="ctr"/>
        <c:lblOffset val="100"/>
        <c:noMultiLvlLbl val="0"/>
      </c:catAx>
      <c:valAx>
        <c:axId val="194848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2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cap="all" baseline="0"/>
              <a:t>Total Sales by Platform — June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(Sheet1!$B$1,Sheet1!$C$1,Sheet1!$D$1)</c:f>
              <c:strCache>
                <c:ptCount val="3"/>
                <c:pt idx="0">
                  <c:v>Uber Eats</c:v>
                </c:pt>
                <c:pt idx="1">
                  <c:v>Just Eat </c:v>
                </c:pt>
                <c:pt idx="2">
                  <c:v>Deliveroo</c:v>
                </c:pt>
              </c:strCache>
            </c:strRef>
          </c:cat>
          <c:val>
            <c:numRef>
              <c:f>(Sheet1!$B$19,Sheet1!$C$19,Sheet1!$D$19)</c:f>
              <c:numCache>
                <c:formatCode>_-[$£-809]* #,##0.00_-;\-[$£-809]* #,##0.00_-;_-[$£-809]* "-"??_-;_-@_-</c:formatCode>
                <c:ptCount val="3"/>
                <c:pt idx="0">
                  <c:v>3446.0600000000009</c:v>
                </c:pt>
                <c:pt idx="1">
                  <c:v>2948.68</c:v>
                </c:pt>
                <c:pt idx="2">
                  <c:v>3228.4300000000003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2-6C49-BDEA-FAE6EBDE6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0381744"/>
        <c:axId val="1948281232"/>
      </c:barChart>
      <c:catAx>
        <c:axId val="27038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81232"/>
        <c:crosses val="autoZero"/>
        <c:auto val="1"/>
        <c:lblAlgn val="ctr"/>
        <c:lblOffset val="100"/>
        <c:noMultiLvlLbl val="0"/>
      </c:catAx>
      <c:valAx>
        <c:axId val="1948281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381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4</xdr:row>
      <xdr:rowOff>63500</xdr:rowOff>
    </xdr:from>
    <xdr:to>
      <xdr:col>15</xdr:col>
      <xdr:colOff>114300</xdr:colOff>
      <xdr:row>27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3C559-A5CC-8195-3887-E7A4ECB1A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686485</xdr:colOff>
      <xdr:row>17</xdr:row>
      <xdr:rowOff>85810</xdr:rowOff>
    </xdr:from>
    <xdr:to>
      <xdr:col>7</xdr:col>
      <xdr:colOff>755134</xdr:colOff>
      <xdr:row>31</xdr:row>
      <xdr:rowOff>240270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DC5284-754E-CCC5-3DA9-3512ED404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Sammu" refreshedDate="46192.833292361109" createdVersion="8" refreshedVersion="8" minRefreshableVersion="3" recordCount="15" xr:uid="{04EEAAF6-2E8E-A141-9435-D7CB77D54A17}">
  <cacheSource type="worksheet">
    <worksheetSource ref="A1:D16" sheet="Sheet1"/>
  </cacheSource>
  <cacheFields count="5">
    <cacheField name="Dates" numFmtId="166">
      <sharedItems containsSemiMixedTypes="0" containsNonDate="0" containsDate="1" containsString="0" minDate="2026-06-01T00:00:00" maxDate="2026-06-16T00:00:00" count="15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</sharedItems>
      <fieldGroup par="4"/>
    </cacheField>
    <cacheField name="Uber Eats" numFmtId="167">
      <sharedItems containsSemiMixedTypes="0" containsString="0" containsNumber="1" minValue="89.78" maxValue="345.78"/>
    </cacheField>
    <cacheField name="Just Eat " numFmtId="167">
      <sharedItems containsSemiMixedTypes="0" containsString="0" containsNumber="1" minValue="78.989999999999995" maxValue="312.33"/>
    </cacheField>
    <cacheField name="Deliveroo" numFmtId="167">
      <sharedItems containsSemiMixedTypes="0" containsString="0" containsNumber="1" minValue="122.87" maxValue="345.65"/>
    </cacheField>
    <cacheField name="Days (Dates)" numFmtId="0" databaseField="0">
      <fieldGroup base="0">
        <rangePr groupBy="days" startDate="2026-06-01T00:00:00" endDate="2026-06-16T00:00:00" groupInterval="7"/>
        <groupItems count="5">
          <s v="&lt;6/1/26"/>
          <s v="6/1/26 - 6/7/26"/>
          <s v="6/8/26 - 6/14/26"/>
          <s v="6/15/26 - 6/16/26"/>
          <s v="&gt;6/16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156.66999999999999"/>
    <n v="98.56"/>
    <n v="122.87"/>
  </r>
  <r>
    <x v="1"/>
    <n v="167.2"/>
    <n v="78.989999999999995"/>
    <n v="134.87"/>
  </r>
  <r>
    <x v="2"/>
    <n v="198.4"/>
    <n v="145.69"/>
    <n v="167.8"/>
  </r>
  <r>
    <x v="3"/>
    <n v="89.78"/>
    <n v="234.78"/>
    <n v="198.75"/>
  </r>
  <r>
    <x v="4"/>
    <n v="276.77999999999997"/>
    <n v="189.67"/>
    <n v="145.78"/>
  </r>
  <r>
    <x v="5"/>
    <n v="324.67"/>
    <n v="267.8"/>
    <n v="289.89"/>
  </r>
  <r>
    <x v="6"/>
    <n v="345.77"/>
    <n v="289.99"/>
    <n v="345.65"/>
  </r>
  <r>
    <x v="7"/>
    <n v="178.67"/>
    <n v="134.49"/>
    <n v="156.78"/>
  </r>
  <r>
    <x v="8"/>
    <n v="223.87"/>
    <n v="167.78"/>
    <n v="189.78"/>
  </r>
  <r>
    <x v="9"/>
    <n v="156.78"/>
    <n v="212.3"/>
    <n v="223.54"/>
  </r>
  <r>
    <x v="10"/>
    <n v="312.33999999999997"/>
    <n v="278.99"/>
    <n v="289"/>
  </r>
  <r>
    <x v="11"/>
    <n v="185.67"/>
    <n v="223.87"/>
    <n v="332.78"/>
  </r>
  <r>
    <x v="12"/>
    <n v="233.78"/>
    <n v="312.33"/>
    <n v="220.9"/>
  </r>
  <r>
    <x v="13"/>
    <n v="345.78"/>
    <n v="114.89"/>
    <n v="164.55"/>
  </r>
  <r>
    <x v="14"/>
    <n v="249.9"/>
    <n v="198.55"/>
    <n v="245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BAB9E-C0E4-414A-BA5F-F5F71CF6448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0" firstDataRow="1" firstDataCol="1"/>
  <pivotFields count="5">
    <pivotField numFmtId="166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numFmtId="167" showAll="0"/>
    <pivotField dataField="1" numFmtId="167" showAll="0"/>
    <pivotField dataField="1" numFmtId="167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ber Eats" fld="1" baseField="0" baseItem="0"/>
    <dataField name="Sum of Just Eat " fld="2" baseField="0" baseItem="0"/>
    <dataField name="Sum of Deliveroo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57C0-586C-7247-955F-5924602ACD62}">
  <dimension ref="A3:D7"/>
  <sheetViews>
    <sheetView tabSelected="1" workbookViewId="0">
      <selection activeCell="D5" sqref="D5"/>
    </sheetView>
  </sheetViews>
  <sheetFormatPr baseColWidth="10" defaultRowHeight="16" x14ac:dyDescent="0.2"/>
  <cols>
    <col min="1" max="1" width="15.1640625" bestFit="1" customWidth="1"/>
    <col min="2" max="2" width="15" bestFit="1" customWidth="1"/>
    <col min="3" max="3" width="13.83203125" bestFit="1" customWidth="1"/>
    <col min="4" max="4" width="15" bestFit="1" customWidth="1"/>
  </cols>
  <sheetData>
    <row r="3" spans="1:4" x14ac:dyDescent="0.2">
      <c r="A3" s="5" t="s">
        <v>15</v>
      </c>
      <c r="B3" t="s">
        <v>17</v>
      </c>
      <c r="C3" t="s">
        <v>18</v>
      </c>
      <c r="D3" t="s">
        <v>19</v>
      </c>
    </row>
    <row r="4" spans="1:4" x14ac:dyDescent="0.2">
      <c r="A4" s="7" t="s">
        <v>20</v>
      </c>
      <c r="B4" s="6">
        <v>1559.27</v>
      </c>
      <c r="C4" s="6">
        <v>1305.48</v>
      </c>
      <c r="D4" s="6">
        <v>1405.6100000000001</v>
      </c>
    </row>
    <row r="5" spans="1:4" x14ac:dyDescent="0.2">
      <c r="A5" s="7" t="s">
        <v>21</v>
      </c>
      <c r="B5" s="6">
        <v>1636.8899999999999</v>
      </c>
      <c r="C5" s="6">
        <v>1444.65</v>
      </c>
      <c r="D5" s="6">
        <v>1577.3300000000002</v>
      </c>
    </row>
    <row r="6" spans="1:4" x14ac:dyDescent="0.2">
      <c r="A6" s="7" t="s">
        <v>22</v>
      </c>
      <c r="B6" s="6">
        <v>249.9</v>
      </c>
      <c r="C6" s="6">
        <v>198.55</v>
      </c>
      <c r="D6" s="6">
        <v>245.49</v>
      </c>
    </row>
    <row r="7" spans="1:4" x14ac:dyDescent="0.2">
      <c r="A7" s="7" t="s">
        <v>16</v>
      </c>
      <c r="B7" s="6">
        <v>3446.06</v>
      </c>
      <c r="C7" s="6">
        <v>2948.6800000000003</v>
      </c>
      <c r="D7" s="6">
        <v>3228.4300000000003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4199-2A6F-FA49-AB54-2A03B38BC9A5}">
  <dimension ref="A1:G27"/>
  <sheetViews>
    <sheetView zoomScale="74" workbookViewId="0">
      <selection sqref="A1:D16"/>
    </sheetView>
  </sheetViews>
  <sheetFormatPr baseColWidth="10" defaultColWidth="56" defaultRowHeight="28" x14ac:dyDescent="0.3"/>
  <cols>
    <col min="1" max="1" width="45.6640625" style="1" bestFit="1" customWidth="1"/>
    <col min="2" max="2" width="30.6640625" style="1" customWidth="1"/>
    <col min="3" max="3" width="23.6640625" style="1" customWidth="1"/>
    <col min="4" max="4" width="27" style="1" customWidth="1"/>
    <col min="5" max="16384" width="56" style="1"/>
  </cols>
  <sheetData>
    <row r="1" spans="1:7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</row>
    <row r="2" spans="1:7" x14ac:dyDescent="0.3">
      <c r="A2" s="2">
        <v>46174</v>
      </c>
      <c r="B2" s="3">
        <v>156.66999999999999</v>
      </c>
      <c r="C2" s="3">
        <v>98.56</v>
      </c>
      <c r="D2" s="3">
        <v>122.87</v>
      </c>
      <c r="E2" s="3">
        <f>SUM(B2:D2)</f>
        <v>378.1</v>
      </c>
      <c r="F2" s="1" t="str">
        <f>IF(E2&gt;600,"High Day","Low Day")</f>
        <v>Low Day</v>
      </c>
      <c r="G2" s="1" t="str">
        <f>IF(B2&gt;C2,IF(B2&gt;D2,"Uber Eats","Deliveroo"),IF(C2&gt;D2,"Just Eats","Deliveroo"))</f>
        <v>Uber Eats</v>
      </c>
    </row>
    <row r="3" spans="1:7" x14ac:dyDescent="0.3">
      <c r="A3" s="2">
        <v>46175</v>
      </c>
      <c r="B3" s="3">
        <v>167.2</v>
      </c>
      <c r="C3" s="3">
        <v>78.989999999999995</v>
      </c>
      <c r="D3" s="3">
        <v>134.87</v>
      </c>
      <c r="E3" s="3">
        <f t="shared" ref="E3:E16" si="0">SUM(B3:D3)</f>
        <v>381.06</v>
      </c>
      <c r="F3" s="1" t="str">
        <f t="shared" ref="F3:F16" si="1">IF(E3&gt;600,"High Day","Low Day")</f>
        <v>Low Day</v>
      </c>
      <c r="G3" s="1" t="str">
        <f t="shared" ref="G3:G16" si="2">IF(B3&gt;C3,IF(B3&gt;D3,"Uber Eats","Deliveroo"),IF(C3&gt;D3,"Just Eat","Deliveroo"))</f>
        <v>Uber Eats</v>
      </c>
    </row>
    <row r="4" spans="1:7" x14ac:dyDescent="0.3">
      <c r="A4" s="2">
        <v>46176</v>
      </c>
      <c r="B4" s="3">
        <v>198.4</v>
      </c>
      <c r="C4" s="3">
        <v>145.69</v>
      </c>
      <c r="D4" s="3">
        <v>167.8</v>
      </c>
      <c r="E4" s="3">
        <f t="shared" si="0"/>
        <v>511.89000000000004</v>
      </c>
      <c r="F4" s="1" t="str">
        <f t="shared" si="1"/>
        <v>Low Day</v>
      </c>
      <c r="G4" s="1" t="str">
        <f t="shared" si="2"/>
        <v>Uber Eats</v>
      </c>
    </row>
    <row r="5" spans="1:7" x14ac:dyDescent="0.3">
      <c r="A5" s="2">
        <v>46177</v>
      </c>
      <c r="B5" s="3">
        <v>89.78</v>
      </c>
      <c r="C5" s="3">
        <v>234.78</v>
      </c>
      <c r="D5" s="3">
        <v>198.75</v>
      </c>
      <c r="E5" s="3">
        <f t="shared" si="0"/>
        <v>523.30999999999995</v>
      </c>
      <c r="F5" s="1" t="str">
        <f t="shared" si="1"/>
        <v>Low Day</v>
      </c>
      <c r="G5" s="1" t="str">
        <f t="shared" si="2"/>
        <v>Just Eat</v>
      </c>
    </row>
    <row r="6" spans="1:7" x14ac:dyDescent="0.3">
      <c r="A6" s="2">
        <v>46178</v>
      </c>
      <c r="B6" s="3">
        <v>276.77999999999997</v>
      </c>
      <c r="C6" s="3">
        <v>189.67</v>
      </c>
      <c r="D6" s="3">
        <v>145.78</v>
      </c>
      <c r="E6" s="3">
        <f t="shared" si="0"/>
        <v>612.2299999999999</v>
      </c>
      <c r="F6" s="1" t="str">
        <f t="shared" si="1"/>
        <v>High Day</v>
      </c>
      <c r="G6" s="1" t="str">
        <f t="shared" si="2"/>
        <v>Uber Eats</v>
      </c>
    </row>
    <row r="7" spans="1:7" x14ac:dyDescent="0.3">
      <c r="A7" s="2">
        <v>46179</v>
      </c>
      <c r="B7" s="3">
        <v>324.67</v>
      </c>
      <c r="C7" s="3">
        <v>267.8</v>
      </c>
      <c r="D7" s="3">
        <v>289.89</v>
      </c>
      <c r="E7" s="3">
        <f t="shared" si="0"/>
        <v>882.36</v>
      </c>
      <c r="F7" s="1" t="str">
        <f t="shared" si="1"/>
        <v>High Day</v>
      </c>
      <c r="G7" s="1" t="str">
        <f t="shared" si="2"/>
        <v>Uber Eats</v>
      </c>
    </row>
    <row r="8" spans="1:7" x14ac:dyDescent="0.3">
      <c r="A8" s="2">
        <v>46180</v>
      </c>
      <c r="B8" s="3">
        <v>345.77</v>
      </c>
      <c r="C8" s="3">
        <v>289.99</v>
      </c>
      <c r="D8" s="3">
        <v>345.65</v>
      </c>
      <c r="E8" s="3">
        <f t="shared" si="0"/>
        <v>981.41</v>
      </c>
      <c r="F8" s="1" t="str">
        <f t="shared" si="1"/>
        <v>High Day</v>
      </c>
      <c r="G8" s="1" t="str">
        <f t="shared" si="2"/>
        <v>Uber Eats</v>
      </c>
    </row>
    <row r="9" spans="1:7" x14ac:dyDescent="0.3">
      <c r="A9" s="2">
        <v>46181</v>
      </c>
      <c r="B9" s="3">
        <v>178.67</v>
      </c>
      <c r="C9" s="3">
        <v>134.49</v>
      </c>
      <c r="D9" s="3">
        <v>156.78</v>
      </c>
      <c r="E9" s="3">
        <f t="shared" si="0"/>
        <v>469.93999999999994</v>
      </c>
      <c r="F9" s="1" t="str">
        <f t="shared" si="1"/>
        <v>Low Day</v>
      </c>
      <c r="G9" s="1" t="str">
        <f t="shared" si="2"/>
        <v>Uber Eats</v>
      </c>
    </row>
    <row r="10" spans="1:7" x14ac:dyDescent="0.3">
      <c r="A10" s="2">
        <v>46182</v>
      </c>
      <c r="B10" s="3">
        <v>223.87</v>
      </c>
      <c r="C10" s="3">
        <v>167.78</v>
      </c>
      <c r="D10" s="3">
        <v>189.78</v>
      </c>
      <c r="E10" s="3">
        <f t="shared" si="0"/>
        <v>581.42999999999995</v>
      </c>
      <c r="F10" s="1" t="str">
        <f t="shared" si="1"/>
        <v>Low Day</v>
      </c>
      <c r="G10" s="1" t="str">
        <f t="shared" si="2"/>
        <v>Uber Eats</v>
      </c>
    </row>
    <row r="11" spans="1:7" x14ac:dyDescent="0.3">
      <c r="A11" s="2">
        <v>46183</v>
      </c>
      <c r="B11" s="3">
        <v>156.78</v>
      </c>
      <c r="C11" s="3">
        <v>212.3</v>
      </c>
      <c r="D11" s="3">
        <v>223.54</v>
      </c>
      <c r="E11" s="3">
        <f t="shared" si="0"/>
        <v>592.62</v>
      </c>
      <c r="F11" s="1" t="str">
        <f t="shared" si="1"/>
        <v>Low Day</v>
      </c>
      <c r="G11" s="1" t="str">
        <f t="shared" si="2"/>
        <v>Deliveroo</v>
      </c>
    </row>
    <row r="12" spans="1:7" x14ac:dyDescent="0.3">
      <c r="A12" s="2">
        <v>46184</v>
      </c>
      <c r="B12" s="3">
        <v>312.33999999999997</v>
      </c>
      <c r="C12" s="3">
        <v>278.99</v>
      </c>
      <c r="D12" s="3">
        <v>289</v>
      </c>
      <c r="E12" s="3">
        <f t="shared" si="0"/>
        <v>880.32999999999993</v>
      </c>
      <c r="F12" s="1" t="str">
        <f t="shared" si="1"/>
        <v>High Day</v>
      </c>
      <c r="G12" s="1" t="str">
        <f t="shared" si="2"/>
        <v>Uber Eats</v>
      </c>
    </row>
    <row r="13" spans="1:7" x14ac:dyDescent="0.3">
      <c r="A13" s="2">
        <v>46185</v>
      </c>
      <c r="B13" s="3">
        <v>185.67</v>
      </c>
      <c r="C13" s="3">
        <v>223.87</v>
      </c>
      <c r="D13" s="3">
        <v>332.78</v>
      </c>
      <c r="E13" s="3">
        <f t="shared" si="0"/>
        <v>742.31999999999994</v>
      </c>
      <c r="F13" s="1" t="str">
        <f t="shared" si="1"/>
        <v>High Day</v>
      </c>
      <c r="G13" s="1" t="str">
        <f t="shared" si="2"/>
        <v>Deliveroo</v>
      </c>
    </row>
    <row r="14" spans="1:7" x14ac:dyDescent="0.3">
      <c r="A14" s="2">
        <v>46186</v>
      </c>
      <c r="B14" s="3">
        <v>233.78</v>
      </c>
      <c r="C14" s="3">
        <v>312.33</v>
      </c>
      <c r="D14" s="3">
        <v>220.9</v>
      </c>
      <c r="E14" s="3">
        <f t="shared" si="0"/>
        <v>767.01</v>
      </c>
      <c r="F14" s="1" t="str">
        <f t="shared" si="1"/>
        <v>High Day</v>
      </c>
      <c r="G14" s="1" t="str">
        <f t="shared" si="2"/>
        <v>Just Eat</v>
      </c>
    </row>
    <row r="15" spans="1:7" x14ac:dyDescent="0.3">
      <c r="A15" s="2">
        <v>46187</v>
      </c>
      <c r="B15" s="3">
        <v>345.78</v>
      </c>
      <c r="C15" s="3">
        <v>114.89</v>
      </c>
      <c r="D15" s="3">
        <v>164.55</v>
      </c>
      <c r="E15" s="3">
        <f t="shared" si="0"/>
        <v>625.22</v>
      </c>
      <c r="F15" s="1" t="str">
        <f t="shared" si="1"/>
        <v>High Day</v>
      </c>
      <c r="G15" s="1" t="str">
        <f t="shared" si="2"/>
        <v>Uber Eats</v>
      </c>
    </row>
    <row r="16" spans="1:7" x14ac:dyDescent="0.3">
      <c r="A16" s="2">
        <v>46188</v>
      </c>
      <c r="B16" s="3">
        <v>249.9</v>
      </c>
      <c r="C16" s="3">
        <v>198.55</v>
      </c>
      <c r="D16" s="3">
        <v>245.49</v>
      </c>
      <c r="E16" s="3">
        <f t="shared" si="0"/>
        <v>693.94</v>
      </c>
      <c r="F16" s="1" t="str">
        <f t="shared" si="1"/>
        <v>High Day</v>
      </c>
      <c r="G16" s="1" t="str">
        <f t="shared" si="2"/>
        <v>Uber Eats</v>
      </c>
    </row>
    <row r="17" spans="1:4" x14ac:dyDescent="0.3">
      <c r="A17" s="2"/>
    </row>
    <row r="18" spans="1:4" x14ac:dyDescent="0.3">
      <c r="A18" s="2"/>
    </row>
    <row r="19" spans="1:4" x14ac:dyDescent="0.3">
      <c r="A19" s="1" t="s">
        <v>4</v>
      </c>
      <c r="B19" s="3">
        <f>SUM(B2:B16)</f>
        <v>3446.0600000000009</v>
      </c>
      <c r="C19" s="3">
        <f>SUM(C2:C16)</f>
        <v>2948.68</v>
      </c>
      <c r="D19" s="3">
        <f>SUM(D2:D16)</f>
        <v>3228.4300000000003</v>
      </c>
    </row>
    <row r="20" spans="1:4" x14ac:dyDescent="0.3">
      <c r="A20" s="1" t="s">
        <v>5</v>
      </c>
      <c r="B20" s="3">
        <f>AVERAGE(B2:B16)</f>
        <v>229.7373333333334</v>
      </c>
      <c r="C20" s="3">
        <f>AVERAGE(C2:C16)</f>
        <v>196.57866666666666</v>
      </c>
      <c r="D20" s="3">
        <f>AVERAGE(D2:D16)</f>
        <v>215.2286666666667</v>
      </c>
    </row>
    <row r="21" spans="1:4" x14ac:dyDescent="0.3">
      <c r="A21" s="1" t="s">
        <v>6</v>
      </c>
      <c r="B21" s="3">
        <f>MIN(B2:B16)</f>
        <v>89.78</v>
      </c>
      <c r="C21" s="3">
        <f>MIN(C2:C16)</f>
        <v>78.989999999999995</v>
      </c>
      <c r="D21" s="3">
        <f>MIN(D2:D16)</f>
        <v>122.87</v>
      </c>
    </row>
    <row r="22" spans="1:4" x14ac:dyDescent="0.3">
      <c r="A22" s="1" t="s">
        <v>7</v>
      </c>
      <c r="B22" s="3">
        <f>MAX(B2:B16)</f>
        <v>345.78</v>
      </c>
      <c r="C22" s="3">
        <f>MAX(C2:C16)</f>
        <v>312.33</v>
      </c>
      <c r="D22" s="3">
        <f>MAX(D2:D16)</f>
        <v>345.65</v>
      </c>
    </row>
    <row r="23" spans="1:4" x14ac:dyDescent="0.3">
      <c r="A23" s="1" t="s">
        <v>8</v>
      </c>
      <c r="B23" s="1">
        <f>COUNT(B2:B16)</f>
        <v>15</v>
      </c>
      <c r="C23" s="4">
        <f>COUNT(C2:C16)</f>
        <v>15</v>
      </c>
      <c r="D23" s="1">
        <f>COUNT(D2:D16)</f>
        <v>15</v>
      </c>
    </row>
    <row r="24" spans="1:4" x14ac:dyDescent="0.3">
      <c r="A24" s="1" t="s">
        <v>12</v>
      </c>
      <c r="B24" s="1">
        <f>COUNTIF(F2:F16,"High Day")</f>
        <v>8</v>
      </c>
    </row>
    <row r="25" spans="1:4" x14ac:dyDescent="0.3">
      <c r="A25" s="1" t="s">
        <v>12</v>
      </c>
      <c r="B25" s="1">
        <f>COUNTIF(F2:F16,"Low day")</f>
        <v>7</v>
      </c>
    </row>
    <row r="26" spans="1:4" x14ac:dyDescent="0.3">
      <c r="A26" s="1" t="s">
        <v>13</v>
      </c>
      <c r="B26" s="1">
        <f>SUMIF(F2:F16,"High Day",E2:E16)</f>
        <v>6184.82</v>
      </c>
    </row>
    <row r="27" spans="1:4" x14ac:dyDescent="0.3">
      <c r="A27" s="1" t="s">
        <v>14</v>
      </c>
      <c r="B27" s="1">
        <f>SUMIF(F2:F16,"Low Day",E2:E16)</f>
        <v>3438.35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Sammu</dc:creator>
  <cp:lastModifiedBy>Suresh Sammu</cp:lastModifiedBy>
  <dcterms:created xsi:type="dcterms:W3CDTF">2026-06-16T12:56:58Z</dcterms:created>
  <dcterms:modified xsi:type="dcterms:W3CDTF">2026-06-19T19:04:13Z</dcterms:modified>
</cp:coreProperties>
</file>